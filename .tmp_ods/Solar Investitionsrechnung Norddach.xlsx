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Übersicht" sheetId="1" state="visible" r:id="rId3"/>
    <sheet name="Jahresrechnung" sheetId="2" state="visible" r:id="rId4"/>
    <sheet name="Sensitivität" sheetId="3" state="visible" r:id="rId5"/>
    <sheet name="Annahmen" sheetId="4" state="visible" r:id="rId6"/>
  </sheets>
  <definedNames>
    <definedName function="false" hidden="true" localSheetId="1" name="_xlnm._FilterDatabase" vbProcedure="false">Jahresrechnung!$A$1:$N$22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<sst xmlns="http://schemas.openxmlformats.org/spreadsheetml/2006/main" count="93" uniqueCount="91">
  <si>
    <t xml:space="preserve">INVESTITIONSRECHNUNG NORDDACH-PV</t>
  </si>
  <si>
    <t xml:space="preserve">Parameter</t>
  </si>
  <si>
    <t xml:space="preserve">Wert</t>
  </si>
  <si>
    <t xml:space="preserve">Investition</t>
  </si>
  <si>
    <t xml:space="preserve">Plan Wp</t>
  </si>
  <si>
    <t xml:space="preserve">max Wp</t>
  </si>
  <si>
    <t xml:space="preserve">Anlagengröße</t>
  </si>
  <si>
    <t xml:space="preserve">Jährlicher Ertrag (Jahr 1) - PVGIS</t>
  </si>
  <si>
    <t xml:space="preserve">Spezifischer Ertrag - PVGIS</t>
  </si>
  <si>
    <t xml:space="preserve">Strompreis</t>
  </si>
  <si>
    <t xml:space="preserve">Einspeisevergütung (bis 10 kWp)</t>
  </si>
  <si>
    <t xml:space="preserve">Einspeisevergütung (über 10 kWp)</t>
  </si>
  <si>
    <t xml:space="preserve">ERGEBNISSE</t>
  </si>
  <si>
    <t xml:space="preserve">Amortisationszeit</t>
  </si>
  <si>
    <t xml:space="preserve">Gesamtertrag 20 Jahre (nominal)</t>
  </si>
  <si>
    <t xml:space="preserve">Gesamtertrag 20 Jahre (kumuliert)</t>
  </si>
  <si>
    <t xml:space="preserve">Kapitalwert 20 Jahre (NPV, 3% Diskont)</t>
  </si>
  <si>
    <t xml:space="preserve">Interner Zinsfuß 20 Jahre (IRR)</t>
  </si>
  <si>
    <t xml:space="preserve">Gesamtertrag 25 Jahre (nominal)</t>
  </si>
  <si>
    <t xml:space="preserve">Gesamtertrag 25 Jahre (kumuliert)</t>
  </si>
  <si>
    <t xml:space="preserve">Kapitalwert 25 Jahre(NPV, 3% Diskont)</t>
  </si>
  <si>
    <t xml:space="preserve">Interner Zinsfuß 25 Jahre (IRR)</t>
  </si>
  <si>
    <t xml:space="preserve">INTERPRETATION</t>
  </si>
  <si>
    <t xml:space="preserve">Status</t>
  </si>
  <si>
    <t xml:space="preserve">✓ Wirtschaftlich rentabel</t>
  </si>
  <si>
    <t xml:space="preserve">Bewertung</t>
  </si>
  <si>
    <t xml:space="preserve">PVGIS-Simulation bestätigt mit 7,6% einen höheren Ertrag als konservativ geschätzt.</t>
  </si>
  <si>
    <t xml:space="preserve">Rendite</t>
  </si>
  <si>
    <t xml:space="preserve">Jahr</t>
  </si>
  <si>
    <t xml:space="preserve">PV-Ertrag (kWh)</t>
  </si>
  <si>
    <t xml:space="preserve">Stromverbrauch (kWh)</t>
  </si>
  <si>
    <t xml:space="preserve">Eigenverbrauch (kWh)</t>
  </si>
  <si>
    <t xml:space="preserve">Quote</t>
  </si>
  <si>
    <t xml:space="preserve">Einspeisung (kWh)</t>
  </si>
  <si>
    <t xml:space="preserve">Ersparnis EV (€)</t>
  </si>
  <si>
    <t xml:space="preserve">Einspeisevergütung (€)</t>
  </si>
  <si>
    <t xml:space="preserve">Betriebskosten (€)</t>
  </si>
  <si>
    <t xml:space="preserve">Jahresertrag netto (€)</t>
  </si>
  <si>
    <t xml:space="preserve">RoI</t>
  </si>
  <si>
    <t xml:space="preserve">Kumuliert (€)</t>
  </si>
  <si>
    <t xml:space="preserve">Diskontiert (€)</t>
  </si>
  <si>
    <t xml:space="preserve">Amortisation</t>
  </si>
  <si>
    <t xml:space="preserve">SENSITIVITÄTSANALYSE: Amortisationszeit in Jahren</t>
  </si>
  <si>
    <t xml:space="preserve">Ertrag der Anlage</t>
  </si>
  <si>
    <t xml:space="preserve">Hinweise:</t>
  </si>
  <si>
    <t xml:space="preserve">• Bei sinkendem Verbrauch (Kinder ziehen aus) verschlechtert sich die Wirtschaftlichkeit leicht</t>
  </si>
  <si>
    <t xml:space="preserve">• Bei steigenden Strompreisen amortisiert sich die Anlage deutlich schneller</t>
  </si>
  <si>
    <t xml:space="preserve">• Selbst bei nur 80% des erwarteten Ertrags liegt die Amortisation unter 15 Jahren</t>
  </si>
  <si>
    <t xml:space="preserve">DETAILLIERTE ANNAHMEN DER BERECHNUNG</t>
  </si>
  <si>
    <t xml:space="preserve">Standort &amp; Anlage</t>
  </si>
  <si>
    <t xml:space="preserve">PLZ</t>
  </si>
  <si>
    <t xml:space="preserve">55545 (Bad Kreuznach)</t>
  </si>
  <si>
    <t xml:space="preserve">Dachausrichtung</t>
  </si>
  <si>
    <t xml:space="preserve">Nord-Nord-Ost (24° West)</t>
  </si>
  <si>
    <t xml:space="preserve">Dachneigung</t>
  </si>
  <si>
    <t xml:space="preserve">30°</t>
  </si>
  <si>
    <t xml:space="preserve">Verfügbare Dachfläche</t>
  </si>
  <si>
    <t xml:space="preserve">ca. 100 m² (effektiv ~80 m² nutzbar)</t>
  </si>
  <si>
    <t xml:space="preserve">Installierte Leistung</t>
  </si>
  <si>
    <t xml:space="preserve">Spezifischer Ertrag (PVGIS / Jahr)</t>
  </si>
  <si>
    <t xml:space="preserve">Jährlicher Ertrag (Jahr 1)</t>
  </si>
  <si>
    <t xml:space="preserve">Degradation pro Jahr</t>
  </si>
  <si>
    <t xml:space="preserve">Kosten</t>
  </si>
  <si>
    <t xml:space="preserve">Investitionskosten (1.300 €/kWp, Vollinstallation)</t>
  </si>
  <si>
    <t xml:space="preserve">Betriebskosten pro Jahr (Wartung, Versicherung)</t>
  </si>
  <si>
    <t xml:space="preserve">Vergütung &amp; Preise</t>
  </si>
  <si>
    <t xml:space="preserve">Strompreis (Bezug)</t>
  </si>
  <si>
    <t xml:space="preserve">Einspeisevergütung (0-10 kWp)</t>
  </si>
  <si>
    <t xml:space="preserve">Einspeisevergütung (&gt;10 kWp)</t>
  </si>
  <si>
    <t xml:space="preserve">Verbrauchsszenarien</t>
  </si>
  <si>
    <t xml:space="preserve">Jahre 1-5</t>
  </si>
  <si>
    <t xml:space="preserve">21.000 kWh (WP 7.500 + Autos 9.000 + Haushalt 4.500)</t>
  </si>
  <si>
    <t xml:space="preserve">Eigenverbrauchsquote: 40%</t>
  </si>
  <si>
    <t xml:space="preserve">Jahre 6-10</t>
  </si>
  <si>
    <t xml:space="preserve">18.000 kWh (WP 7.500 + Autos 6.000 + Haushalt 4.500)</t>
  </si>
  <si>
    <t xml:space="preserve">Eigenverbrauchsquote: 35%</t>
  </si>
  <si>
    <t xml:space="preserve">Jahre 11-20</t>
  </si>
  <si>
    <t xml:space="preserve">15.000 kWh (WP 7.500 + Autos 3.000 + Haushalt 4.500)</t>
  </si>
  <si>
    <t xml:space="preserve">Eigenverbrauchsquote: 30%</t>
  </si>
  <si>
    <t xml:space="preserve">Bestandsanlage (Südseite)</t>
  </si>
  <si>
    <t xml:space="preserve">Inbetriebnahme</t>
  </si>
  <si>
    <t xml:space="preserve">2012</t>
  </si>
  <si>
    <t xml:space="preserve">Jährlicher Ertrag</t>
  </si>
  <si>
    <t xml:space="preserve">Eigenverbrauch (kein Akku)</t>
  </si>
  <si>
    <t xml:space="preserve">Einspeisevergütung</t>
  </si>
  <si>
    <t xml:space="preserve">Restlaufzeit</t>
  </si>
  <si>
    <t xml:space="preserve">Finanzielle Parameter</t>
  </si>
  <si>
    <t xml:space="preserve">Diskontierungssatz</t>
  </si>
  <si>
    <t xml:space="preserve">Betrachtungszeitraum</t>
  </si>
  <si>
    <t xml:space="preserve">Inflationsanpassung</t>
  </si>
  <si>
    <t xml:space="preserve">nicht berücksichtigt (konservativ)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</si>
</sst>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\ [$€-407];[RED]\-#,##0.00\ [$€-407]"/>
    <numFmt numFmtId="166" formatCode="0&quot; kWp&quot;"/>
    <numFmt numFmtId="167" formatCode="0"/>
    <numFmt numFmtId="168" formatCode="#,##0&quot; kWh&quot;;\-#&quot;0 kWh&quot;"/>
    <numFmt numFmtId="169" formatCode="#,##0&quot; kWh/kWp&quot;;\-#&quot;0 kWh/kWp&quot;"/>
    <numFmt numFmtId="170" formatCode="#,##0.00&quot; €/kWh&quot;;\-#&quot;0,00 €/kWh&quot;"/>
    <numFmt numFmtId="171" formatCode="#,##0&quot;  Jahre&quot;;\-#,##0&quot;  Jahre&quot;"/>
    <numFmt numFmtId="172" formatCode="0.00\ %"/>
    <numFmt numFmtId="173" formatCode="0.00%"/>
    <numFmt numFmtId="174" formatCode="0\ %"/>
    <numFmt numFmtId="175" formatCode="#,##0.0&quot;  Jahre&quot;;\-#,##0.0&quot;  Jahre&quot;"/>
    <numFmt numFmtId="176" formatCode="#,##0"/>
  </numFmts>
  <fonts count="6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1"/>
      <color rgb="FF000000"/>
      <name val="Calibri"/>
      <family val="2"/>
    </font>
    <font>
      <b val="true"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rgebnis 2" xfId="20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10.16015625" defaultRowHeight="14.05" customHeight="false" zeroHeight="false" outlineLevelRow="0" outlineLevelCol="0"/>
  <cols>
    <col collapsed="false" customWidth="true" hidden="false" outlineLevel="0" max="1" min="1" style="0" width="36.72"/>
    <col collapsed="false" customWidth="true" hidden="false" outlineLevel="0" max="2" min="2" style="0" width="14.58"/>
    <col collapsed="false" customWidth="true" hidden="false" outlineLevel="0" max="3" min="3" style="0" width="11.68"/>
    <col collapsed="false" customWidth="true" hidden="false" outlineLevel="0" max="1024" min="4" style="0" width="8.59"/>
  </cols>
  <sheetData>
    <row r="1" customFormat="false" ht="13.8" hidden="false" customHeight="false" outlineLevel="0" collapsed="false">
      <c r="A1" s="0" t="s">
        <v>0</v>
      </c>
    </row>
    <row r="2" customFormat="false" ht="13.8" hidden="false" customHeight="false" outlineLevel="0" collapsed="false"/>
    <row r="3" customFormat="false" ht="13.8" hidden="false" customHeight="false" outlineLevel="0" collapsed="false">
      <c r="A3" s="1" t="s">
        <v>1</v>
      </c>
      <c r="B3" s="1" t="s">
        <v>2</v>
      </c>
    </row>
    <row r="4" customFormat="false" ht="13.8" hidden="false" customHeight="false" outlineLevel="0" collapsed="false">
      <c r="A4" s="0" t="s">
        <v>3</v>
      </c>
      <c r="B4" s="2" t="n">
        <f aca="false">Annahmen!B14</f>
        <v>18007.88</v>
      </c>
      <c r="C4" s="3" t="s">
        <v>4</v>
      </c>
      <c r="D4" s="3" t="s">
        <v>5</v>
      </c>
    </row>
    <row r="5" customFormat="false" ht="13.8" hidden="false" customHeight="false" outlineLevel="0" collapsed="false">
      <c r="A5" s="0" t="s">
        <v>6</v>
      </c>
      <c r="B5" s="4" t="n">
        <f aca="false">Annahmen!B8</f>
        <v>16.56</v>
      </c>
      <c r="C5" s="5" t="n">
        <f aca="false">D5/36*1000</f>
        <v>460</v>
      </c>
      <c r="D5" s="4" t="n">
        <f aca="false">460*36/1000</f>
        <v>16.56</v>
      </c>
    </row>
    <row r="6" customFormat="false" ht="13.8" hidden="false" customHeight="false" outlineLevel="0" collapsed="false">
      <c r="A6" s="0" t="s">
        <v>7</v>
      </c>
      <c r="B6" s="6" t="n">
        <f aca="false">Annahmen!B10</f>
        <v>11297</v>
      </c>
    </row>
    <row r="7" customFormat="false" ht="13.8" hidden="false" customHeight="false" outlineLevel="0" collapsed="false">
      <c r="A7" s="0" t="s">
        <v>8</v>
      </c>
      <c r="B7" s="7" t="n">
        <f aca="false">Annahmen!B9</f>
        <v>753</v>
      </c>
    </row>
    <row r="8" customFormat="false" ht="13.8" hidden="false" customHeight="false" outlineLevel="0" collapsed="false">
      <c r="A8" s="0" t="s">
        <v>9</v>
      </c>
      <c r="B8" s="8" t="n">
        <f aca="false">Annahmen!B18</f>
        <v>0.32</v>
      </c>
    </row>
    <row r="9" customFormat="false" ht="13.8" hidden="false" customHeight="false" outlineLevel="0" collapsed="false">
      <c r="A9" s="0" t="s">
        <v>10</v>
      </c>
      <c r="B9" s="8" t="n">
        <f aca="false">Annahmen!B19</f>
        <v>0.0778</v>
      </c>
    </row>
    <row r="10" customFormat="false" ht="13.8" hidden="false" customHeight="false" outlineLevel="0" collapsed="false">
      <c r="A10" s="0" t="s">
        <v>11</v>
      </c>
      <c r="B10" s="8" t="n">
        <f aca="false">Annahmen!B20</f>
        <v>0.0673</v>
      </c>
    </row>
    <row r="11" customFormat="false" ht="13.8" hidden="false" customHeight="false" outlineLevel="0" collapsed="false"/>
    <row r="12" customFormat="false" ht="13.8" hidden="false" customHeight="false" outlineLevel="0" collapsed="false">
      <c r="A12" s="1" t="s">
        <v>12</v>
      </c>
      <c r="B12" s="1"/>
    </row>
    <row r="13" customFormat="false" ht="13.8" hidden="false" customHeight="false" outlineLevel="0" collapsed="false">
      <c r="A13" s="9" t="s">
        <v>13</v>
      </c>
      <c r="B13" s="10" t="n">
        <f aca="false">VLOOKUP("JA", Jahresrechnung!N1:O27, 2, 0)</f>
        <v>10</v>
      </c>
      <c r="C13" s="3"/>
    </row>
    <row r="14" customFormat="false" ht="13.8" hidden="false" customHeight="false" outlineLevel="0" collapsed="false">
      <c r="A14" s="0" t="s">
        <v>14</v>
      </c>
      <c r="B14" s="2" t="n">
        <f aca="false">MAX(Jahresrechnung!L2:L22)</f>
        <v>34467.1086304494</v>
      </c>
    </row>
    <row r="15" customFormat="false" ht="13.8" hidden="false" customHeight="false" outlineLevel="0" collapsed="false">
      <c r="A15" s="0" t="s">
        <v>15</v>
      </c>
      <c r="B15" s="2" t="n">
        <f aca="false">MAX(Jahresrechnung!L2:L22)-Annahmen!$B$14</f>
        <v>16459.2286304494</v>
      </c>
    </row>
    <row r="16" customFormat="false" ht="13.8" hidden="false" customHeight="false" outlineLevel="0" collapsed="false">
      <c r="A16" s="0" t="s">
        <v>16</v>
      </c>
      <c r="B16" s="2" t="n">
        <f aca="false">NPV(Annahmen!B39,(-1*Annahmen!B14),Jahresrechnung!J3:J22)</f>
        <v>7820.804656467</v>
      </c>
    </row>
    <row r="17" customFormat="false" ht="13.8" hidden="false" customHeight="false" outlineLevel="0" collapsed="false">
      <c r="A17" s="11" t="s">
        <v>17</v>
      </c>
      <c r="B17" s="12" t="n">
        <f aca="false">IRR(Jahresrechnung!J2:J22)</f>
        <v>0.0770643794831908</v>
      </c>
      <c r="C17" s="13"/>
    </row>
    <row r="18" customFormat="false" ht="13.8" hidden="false" customHeight="false" outlineLevel="0" collapsed="false">
      <c r="A18" s="0" t="s">
        <v>18</v>
      </c>
      <c r="B18" s="2" t="n">
        <f aca="false">MAX(Jahresrechnung!L2:L27)</f>
        <v>41996.9602281173</v>
      </c>
      <c r="C18" s="2"/>
    </row>
    <row r="19" customFormat="false" ht="13.8" hidden="false" customHeight="false" outlineLevel="0" collapsed="false">
      <c r="A19" s="0" t="s">
        <v>19</v>
      </c>
      <c r="B19" s="2" t="n">
        <f aca="false">MAX(Jahresrechnung!L2:L27)-Annahmen!$B$14</f>
        <v>23989.0802281173</v>
      </c>
    </row>
    <row r="20" customFormat="false" ht="13.8" hidden="false" customHeight="false" outlineLevel="0" collapsed="false">
      <c r="A20" s="0" t="s">
        <v>20</v>
      </c>
      <c r="B20" s="2" t="n">
        <f aca="false">NPV(Annahmen!B39,(-1*Annahmen!B14),Jahresrechnung!J3:J27)</f>
        <v>11529.2898903186</v>
      </c>
    </row>
    <row r="21" customFormat="false" ht="13.8" hidden="false" customHeight="false" outlineLevel="0" collapsed="false">
      <c r="A21" s="11" t="s">
        <v>21</v>
      </c>
      <c r="B21" s="12" t="n">
        <f aca="false">IRR(Jahresrechnung!J2:J27)</f>
        <v>0.0864125721860296</v>
      </c>
      <c r="C21" s="13"/>
    </row>
    <row r="22" customFormat="false" ht="13.8" hidden="false" customHeight="false" outlineLevel="0" collapsed="false"/>
    <row r="23" customFormat="false" ht="13.8" hidden="false" customHeight="false" outlineLevel="0" collapsed="false">
      <c r="A23" s="1" t="s">
        <v>22</v>
      </c>
      <c r="B23" s="1"/>
    </row>
    <row r="24" customFormat="false" ht="13.8" hidden="false" customHeight="false" outlineLevel="0" collapsed="false">
      <c r="A24" s="0" t="s">
        <v>23</v>
      </c>
      <c r="B24" s="0" t="s">
        <v>24</v>
      </c>
    </row>
    <row r="25" customFormat="false" ht="13.8" hidden="false" customHeight="false" outlineLevel="0" collapsed="false">
      <c r="A25" s="0" t="s">
        <v>25</v>
      </c>
      <c r="B25" s="0" t="str">
        <f aca="false">"Die Anlage amortisiert sich nach "&amp;B13&amp;" Jahren und erwirtschaftet über 25 Jahre einen Gewinn von "&amp; ROUND(B19,2) &amp; " € (nominal)."</f>
        <v>Die Anlage amortisiert sich nach 10 Jahren und erwirtschaftet über 25 Jahre einen Gewinn von 23989,08 € (nominal).</v>
      </c>
    </row>
    <row r="26" customFormat="false" ht="13.8" hidden="false" customHeight="false" outlineLevel="0" collapsed="false">
      <c r="B26" s="14" t="s">
        <v>26</v>
      </c>
    </row>
    <row r="27" customFormat="false" ht="13.8" hidden="false" customHeight="false" outlineLevel="0" collapsed="false">
      <c r="A27" s="0" t="s">
        <v>27</v>
      </c>
      <c r="B27" s="0" t="str">
        <f aca="false">"Die interne Verzinsung von " &amp; ROUND(B21*100,2) &amp; "% liegt deutlich über der üblichen sicheren anlageformen und der inflationsrate."</f>
        <v>Die interne Verzinsung von 8,64% liegt deutlich über der üblichen sicheren anlageformen und der inflationsrate.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4.05" customHeight="false" zeroHeight="false" outlineLevelRow="0" outlineLevelCol="0"/>
  <cols>
    <col collapsed="false" customWidth="true" hidden="false" outlineLevel="0" max="1" min="1" style="0" width="6.72"/>
    <col collapsed="false" customWidth="true" hidden="false" outlineLevel="0" max="2" min="2" style="0" width="15.65"/>
    <col collapsed="false" customWidth="true" hidden="false" outlineLevel="0" max="3" min="3" style="0" width="20.52"/>
    <col collapsed="false" customWidth="true" hidden="false" outlineLevel="0" max="4" min="4" style="0" width="20.17"/>
    <col collapsed="false" customWidth="true" hidden="false" outlineLevel="0" max="5" min="5" style="0" width="8.39"/>
    <col collapsed="false" customWidth="true" hidden="false" outlineLevel="0" max="6" min="6" style="0" width="17.56"/>
    <col collapsed="false" customWidth="true" hidden="false" outlineLevel="0" max="7" min="7" style="0" width="15.06"/>
    <col collapsed="false" customWidth="true" hidden="false" outlineLevel="0" max="8" min="8" style="0" width="20.64"/>
    <col collapsed="false" customWidth="true" hidden="false" outlineLevel="0" max="9" min="9" style="2" width="17.32"/>
    <col collapsed="false" customWidth="true" hidden="false" outlineLevel="0" max="10" min="10" style="2" width="19.57"/>
    <col collapsed="false" customWidth="true" hidden="false" outlineLevel="0" max="11" min="11" style="2" width="7.85"/>
    <col collapsed="false" customWidth="true" hidden="false" outlineLevel="0" max="12" min="12" style="0" width="13.51"/>
    <col collapsed="false" customWidth="true" hidden="false" outlineLevel="0" max="13" min="13" style="0" width="14.34"/>
    <col collapsed="false" customWidth="true" hidden="false" outlineLevel="0" max="14" min="14" style="0" width="13.39"/>
    <col collapsed="false" customWidth="true" hidden="false" outlineLevel="0" max="15" min="15" style="0" width="3.03"/>
  </cols>
  <sheetData>
    <row r="1" customFormat="false" ht="13.8" hidden="false" customHeight="fals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5" t="s">
        <v>36</v>
      </c>
      <c r="J1" s="15" t="s">
        <v>37</v>
      </c>
      <c r="K1" s="15" t="s">
        <v>38</v>
      </c>
      <c r="L1" s="1" t="s">
        <v>39</v>
      </c>
      <c r="M1" s="1" t="s">
        <v>40</v>
      </c>
      <c r="N1" s="1" t="s">
        <v>41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5"/>
      <c r="J2" s="15" t="n">
        <f aca="false">(-1)*Annahmen!B14</f>
        <v>-18007.88</v>
      </c>
      <c r="K2" s="15"/>
      <c r="L2" s="1"/>
      <c r="M2" s="1"/>
      <c r="N2" s="1"/>
      <c r="O2" s="1"/>
      <c r="P2" s="1"/>
    </row>
    <row r="3" customFormat="false" ht="13.8" hidden="false" customHeight="false" outlineLevel="0" collapsed="false">
      <c r="A3" s="0" t="n">
        <v>1</v>
      </c>
      <c r="B3" s="0" t="n">
        <f aca="false">Annahmen!$B$9*Annahmen!$B$8</f>
        <v>12469.68</v>
      </c>
      <c r="C3" s="0" t="n">
        <v>21000</v>
      </c>
      <c r="D3" s="5" t="n">
        <f aca="false">B3*E3</f>
        <v>4987.872</v>
      </c>
      <c r="E3" s="16" t="n">
        <v>0.4</v>
      </c>
      <c r="F3" s="5" t="n">
        <f aca="false">IF(B3-D3&lt;0,0,B3-D3)</f>
        <v>7481.808</v>
      </c>
      <c r="G3" s="17" t="n">
        <f aca="false">D3*Annahmen!$B$18</f>
        <v>1596.11904</v>
      </c>
      <c r="H3" s="2" t="n">
        <f aca="false"> F3 * ( (10/15) * Annahmen!$B$19 + (5/15) * Annahmen!$B$20 )</f>
        <v>555.8983344</v>
      </c>
      <c r="I3" s="2" t="n">
        <v>-150</v>
      </c>
      <c r="J3" s="2" t="n">
        <f aca="false">SUM(G3:I3)</f>
        <v>2002.0173744</v>
      </c>
      <c r="K3" s="13" t="n">
        <f aca="false">J3/Annahmen!$B$14</f>
        <v>0.111174517733348</v>
      </c>
      <c r="L3" s="2" t="n">
        <f aca="false">J3</f>
        <v>2002.0173744</v>
      </c>
      <c r="M3" s="2" t="n">
        <f aca="false">J3/(1+Annahmen!$B$39)^A3</f>
        <v>1943.70618873786</v>
      </c>
      <c r="N3" s="18" t="str">
        <f aca="false">IF(L3&gt;=Annahmen!$B$14,"JA","")</f>
        <v/>
      </c>
      <c r="O3" s="0" t="n">
        <f aca="false">A3</f>
        <v>1</v>
      </c>
    </row>
    <row r="4" customFormat="false" ht="13.8" hidden="false" customHeight="false" outlineLevel="0" collapsed="false">
      <c r="A4" s="0" t="n">
        <v>2</v>
      </c>
      <c r="B4" s="5" t="n">
        <f aca="false">B3*(1-Annahmen!$B$11)</f>
        <v>12407.3316</v>
      </c>
      <c r="C4" s="0" t="n">
        <v>21000</v>
      </c>
      <c r="D4" s="5" t="n">
        <f aca="false">B4*E4</f>
        <v>4962.93264</v>
      </c>
      <c r="E4" s="16" t="n">
        <v>0.4</v>
      </c>
      <c r="F4" s="5" t="n">
        <f aca="false">IF(B4-D4&lt;0,0,B4-D4)</f>
        <v>7444.39896</v>
      </c>
      <c r="G4" s="17" t="n">
        <f aca="false">D4*Annahmen!$B$18</f>
        <v>1588.1384448</v>
      </c>
      <c r="H4" s="2" t="n">
        <f aca="false"> F4 * ( (10/15) * Annahmen!$B$19 + (5/15) * Annahmen!$B$20 )</f>
        <v>553.118842728</v>
      </c>
      <c r="I4" s="2" t="n">
        <v>-150</v>
      </c>
      <c r="J4" s="2" t="n">
        <f aca="false">SUM(G4:I4)</f>
        <v>1991.257287528</v>
      </c>
      <c r="K4" s="13" t="n">
        <f aca="false">J4/Annahmen!$B$14</f>
        <v>0.110576996710773</v>
      </c>
      <c r="L4" s="2" t="n">
        <f aca="false">L3+J4</f>
        <v>3993.274661928</v>
      </c>
      <c r="M4" s="2" t="n">
        <f aca="false">J4/(1+Annahmen!$B$39)^A4</f>
        <v>1876.95097325667</v>
      </c>
      <c r="N4" s="18" t="str">
        <f aca="false">IF(L4&gt;=Annahmen!$B$14,"JA","")</f>
        <v/>
      </c>
      <c r="O4" s="0" t="n">
        <f aca="false">A4</f>
        <v>2</v>
      </c>
    </row>
    <row r="5" customFormat="false" ht="13.8" hidden="false" customHeight="false" outlineLevel="0" collapsed="false">
      <c r="A5" s="0" t="n">
        <v>3</v>
      </c>
      <c r="B5" s="5" t="n">
        <f aca="false">B4*(1-Annahmen!$B$11)</f>
        <v>12345.294942</v>
      </c>
      <c r="C5" s="0" t="n">
        <v>21000</v>
      </c>
      <c r="D5" s="5" t="n">
        <f aca="false">B5*E5</f>
        <v>4938.1179768</v>
      </c>
      <c r="E5" s="16" t="n">
        <v>0.4</v>
      </c>
      <c r="F5" s="5" t="n">
        <f aca="false">IF(B5-D5&lt;0,0,B5-D5)</f>
        <v>7407.1769652</v>
      </c>
      <c r="G5" s="17" t="n">
        <f aca="false">D5*Annahmen!$B$18</f>
        <v>1580.197752576</v>
      </c>
      <c r="H5" s="2" t="n">
        <f aca="false"> F5 * ( (10/15) * Annahmen!$B$19 + (5/15) * Annahmen!$B$20 )</f>
        <v>550.35324851436</v>
      </c>
      <c r="I5" s="2" t="n">
        <v>-150</v>
      </c>
      <c r="J5" s="2" t="n">
        <f aca="false">SUM(G5:I5)</f>
        <v>1980.55100109036</v>
      </c>
      <c r="K5" s="13" t="n">
        <f aca="false">J5/Annahmen!$B$14</f>
        <v>0.109982463293312</v>
      </c>
      <c r="L5" s="2" t="n">
        <f aca="false">L4+J5</f>
        <v>5973.82566301836</v>
      </c>
      <c r="M5" s="2" t="n">
        <f aca="false">J5/(1+Annahmen!$B$39)^A5</f>
        <v>1812.48472957139</v>
      </c>
      <c r="N5" s="18" t="str">
        <f aca="false">IF(L5&gt;=Annahmen!$B$14,"JA","")</f>
        <v/>
      </c>
      <c r="O5" s="0" t="n">
        <f aca="false">A5</f>
        <v>3</v>
      </c>
    </row>
    <row r="6" customFormat="false" ht="13.8" hidden="false" customHeight="false" outlineLevel="0" collapsed="false">
      <c r="A6" s="0" t="n">
        <v>4</v>
      </c>
      <c r="B6" s="5" t="n">
        <f aca="false">B5*(1-Annahmen!$B$11)</f>
        <v>12283.56846729</v>
      </c>
      <c r="C6" s="0" t="n">
        <v>21000</v>
      </c>
      <c r="D6" s="5" t="n">
        <f aca="false">B6*E6</f>
        <v>4913.427386916</v>
      </c>
      <c r="E6" s="16" t="n">
        <v>0.4</v>
      </c>
      <c r="F6" s="5" t="n">
        <f aca="false">IF(B6-D6&lt;0,0,B6-D6)</f>
        <v>7370.141080374</v>
      </c>
      <c r="G6" s="17" t="n">
        <f aca="false">D6*Annahmen!$B$18</f>
        <v>1572.29676381312</v>
      </c>
      <c r="H6" s="2" t="n">
        <f aca="false"> F6 * ( (10/15) * Annahmen!$B$19 + (5/15) * Annahmen!$B$20 )</f>
        <v>547.601482271788</v>
      </c>
      <c r="I6" s="2" t="n">
        <v>-150</v>
      </c>
      <c r="J6" s="2" t="n">
        <f aca="false">SUM(G6:I6)</f>
        <v>1969.89824608491</v>
      </c>
      <c r="K6" s="13" t="n">
        <f aca="false">J6/Annahmen!$B$14</f>
        <v>0.109390902542937</v>
      </c>
      <c r="L6" s="2" t="n">
        <f aca="false">L5+J6</f>
        <v>7943.72390910327</v>
      </c>
      <c r="M6" s="2" t="n">
        <f aca="false">J6/(1+Annahmen!$B$39)^A6</f>
        <v>1750.22907735827</v>
      </c>
      <c r="N6" s="18" t="str">
        <f aca="false">IF(L6&gt;=Annahmen!$B$14,"JA","")</f>
        <v/>
      </c>
      <c r="O6" s="0" t="n">
        <f aca="false">A6</f>
        <v>4</v>
      </c>
    </row>
    <row r="7" customFormat="false" ht="13.8" hidden="false" customHeight="false" outlineLevel="0" collapsed="false">
      <c r="A7" s="0" t="n">
        <v>5</v>
      </c>
      <c r="B7" s="5" t="n">
        <f aca="false">B6*(1-Annahmen!$B$11)</f>
        <v>12222.1506249535</v>
      </c>
      <c r="C7" s="0" t="n">
        <v>21000</v>
      </c>
      <c r="D7" s="5" t="n">
        <f aca="false">B7*E7</f>
        <v>4888.86024998142</v>
      </c>
      <c r="E7" s="16" t="n">
        <v>0.4</v>
      </c>
      <c r="F7" s="5" t="n">
        <f aca="false">IF(B7-D7&lt;0,0,B7-D7)</f>
        <v>7333.29037497213</v>
      </c>
      <c r="G7" s="17" t="n">
        <f aca="false">D7*Annahmen!$B$18</f>
        <v>1564.43527999405</v>
      </c>
      <c r="H7" s="2" t="n">
        <f aca="false"> F7 * ( (10/15) * Annahmen!$B$19 + (5/15) * Annahmen!$B$20 )</f>
        <v>544.863474860429</v>
      </c>
      <c r="I7" s="2" t="n">
        <v>-150</v>
      </c>
      <c r="J7" s="2" t="n">
        <f aca="false">SUM(G7:I7)</f>
        <v>1959.29875485448</v>
      </c>
      <c r="K7" s="13" t="n">
        <f aca="false">J7/Annahmen!$B$14</f>
        <v>0.108802299596315</v>
      </c>
      <c r="L7" s="2" t="n">
        <f aca="false">L6+J7</f>
        <v>9903.02266395775</v>
      </c>
      <c r="M7" s="2" t="n">
        <f aca="false">J7/(1+Annahmen!$B$39)^A7</f>
        <v>1690.10831717043</v>
      </c>
      <c r="N7" s="18" t="str">
        <f aca="false">IF(L7&gt;=Annahmen!$B$14,"JA","")</f>
        <v/>
      </c>
      <c r="O7" s="0" t="n">
        <f aca="false">A7</f>
        <v>5</v>
      </c>
    </row>
    <row r="8" customFormat="false" ht="13.8" hidden="false" customHeight="false" outlineLevel="0" collapsed="false">
      <c r="A8" s="0" t="n">
        <v>6</v>
      </c>
      <c r="B8" s="5" t="n">
        <f aca="false">B7*(1-Annahmen!$B$11)</f>
        <v>12161.0398718288</v>
      </c>
      <c r="C8" s="0" t="n">
        <v>18000</v>
      </c>
      <c r="D8" s="5" t="n">
        <f aca="false">B8*E8</f>
        <v>4256.36395514007</v>
      </c>
      <c r="E8" s="16" t="n">
        <v>0.35</v>
      </c>
      <c r="F8" s="5" t="n">
        <f aca="false">IF(B8-D8&lt;0,0,B8-D8)</f>
        <v>7904.67591668871</v>
      </c>
      <c r="G8" s="17" t="n">
        <f aca="false">D8*Annahmen!$B$18</f>
        <v>1362.03646564482</v>
      </c>
      <c r="H8" s="2" t="n">
        <f aca="false"> F8 * ( (10/15) * Annahmen!$B$19 + (5/15) * Annahmen!$B$20 )</f>
        <v>587.317420609971</v>
      </c>
      <c r="I8" s="2" t="n">
        <v>-150</v>
      </c>
      <c r="J8" s="2" t="n">
        <f aca="false">SUM(G8:I8)</f>
        <v>1799.35388625479</v>
      </c>
      <c r="K8" s="13" t="n">
        <f aca="false">J8/Annahmen!$B$14</f>
        <v>0.0999203618779553</v>
      </c>
      <c r="L8" s="2" t="n">
        <f aca="false">L7+J8</f>
        <v>11702.3765502125</v>
      </c>
      <c r="M8" s="2" t="n">
        <f aca="false">J8/(1+Annahmen!$B$39)^A8</f>
        <v>1506.93055194094</v>
      </c>
      <c r="N8" s="18" t="str">
        <f aca="false">IF(L8&gt;=Annahmen!$B$14,"JA","")</f>
        <v/>
      </c>
      <c r="O8" s="0" t="n">
        <f aca="false">A8</f>
        <v>6</v>
      </c>
    </row>
    <row r="9" customFormat="false" ht="13.8" hidden="false" customHeight="false" outlineLevel="0" collapsed="false">
      <c r="A9" s="0" t="n">
        <v>7</v>
      </c>
      <c r="B9" s="5" t="n">
        <f aca="false">B8*(1-Annahmen!$B$11)</f>
        <v>12100.2346724696</v>
      </c>
      <c r="C9" s="0" t="n">
        <v>18000</v>
      </c>
      <c r="D9" s="5" t="n">
        <f aca="false">B9*E9</f>
        <v>4235.08213536437</v>
      </c>
      <c r="E9" s="16" t="n">
        <v>0.35</v>
      </c>
      <c r="F9" s="5" t="n">
        <f aca="false">IF(B9-D9&lt;0,0,B9-D9)</f>
        <v>7865.15253710526</v>
      </c>
      <c r="G9" s="17" t="n">
        <f aca="false">D9*Annahmen!$B$18</f>
        <v>1355.2262833166</v>
      </c>
      <c r="H9" s="2" t="n">
        <f aca="false"> F9 * ( (10/15) * Annahmen!$B$19 + (5/15) * Annahmen!$B$20 )</f>
        <v>584.380833506921</v>
      </c>
      <c r="I9" s="2" t="n">
        <v>-150</v>
      </c>
      <c r="J9" s="2" t="n">
        <f aca="false">SUM(G9:I9)</f>
        <v>1789.60711682352</v>
      </c>
      <c r="K9" s="13" t="n">
        <f aca="false">J9/Annahmen!$B$14</f>
        <v>0.0993791116346577</v>
      </c>
      <c r="L9" s="2" t="n">
        <f aca="false">L8+J9</f>
        <v>13491.9836670361</v>
      </c>
      <c r="M9" s="2" t="n">
        <f aca="false">J9/(1+Annahmen!$B$39)^A9</f>
        <v>1455.11435532886</v>
      </c>
      <c r="N9" s="18" t="str">
        <f aca="false">IF(L9&gt;=Annahmen!$B$14,"JA","")</f>
        <v/>
      </c>
      <c r="O9" s="0" t="n">
        <f aca="false">A9</f>
        <v>7</v>
      </c>
    </row>
    <row r="10" customFormat="false" ht="13.8" hidden="false" customHeight="false" outlineLevel="0" collapsed="false">
      <c r="A10" s="0" t="n">
        <v>8</v>
      </c>
      <c r="B10" s="5" t="n">
        <f aca="false">B9*(1-Annahmen!$B$11)</f>
        <v>12039.7334991073</v>
      </c>
      <c r="C10" s="0" t="n">
        <v>18000</v>
      </c>
      <c r="D10" s="5" t="n">
        <f aca="false">B10*E10</f>
        <v>4213.90672468755</v>
      </c>
      <c r="E10" s="16" t="n">
        <v>0.35</v>
      </c>
      <c r="F10" s="5" t="n">
        <f aca="false">IF(B10-D10&lt;0,0,B10-D10)</f>
        <v>7825.82677441974</v>
      </c>
      <c r="G10" s="17" t="n">
        <f aca="false">D10*Annahmen!$B$18</f>
        <v>1348.45015190002</v>
      </c>
      <c r="H10" s="2" t="n">
        <f aca="false"> F10 * ( (10/15) * Annahmen!$B$19 + (5/15) * Annahmen!$B$20 )</f>
        <v>581.458929339386</v>
      </c>
      <c r="I10" s="2" t="n">
        <v>-150</v>
      </c>
      <c r="J10" s="2" t="n">
        <f aca="false">SUM(G10:I10)</f>
        <v>1779.9090812394</v>
      </c>
      <c r="K10" s="13" t="n">
        <f aca="false">J10/Annahmen!$B$14</f>
        <v>0.0988405676425766</v>
      </c>
      <c r="L10" s="2" t="n">
        <f aca="false">L9+J10</f>
        <v>15271.8927482755</v>
      </c>
      <c r="M10" s="2" t="n">
        <f aca="false">J10/(1+Annahmen!$B$39)^A10</f>
        <v>1405.07666496962</v>
      </c>
      <c r="N10" s="18" t="str">
        <f aca="false">IF(L10&gt;=Annahmen!$B$14,"JA","")</f>
        <v/>
      </c>
      <c r="O10" s="0" t="n">
        <f aca="false">A10</f>
        <v>8</v>
      </c>
    </row>
    <row r="11" customFormat="false" ht="13.8" hidden="false" customHeight="false" outlineLevel="0" collapsed="false">
      <c r="A11" s="0" t="n">
        <v>9</v>
      </c>
      <c r="B11" s="5" t="n">
        <f aca="false">B10*(1-Annahmen!$B$11)</f>
        <v>11979.5348316118</v>
      </c>
      <c r="C11" s="0" t="n">
        <v>18000</v>
      </c>
      <c r="D11" s="5" t="n">
        <f aca="false">B11*E11</f>
        <v>4192.83719106411</v>
      </c>
      <c r="E11" s="16" t="n">
        <v>0.35</v>
      </c>
      <c r="F11" s="5" t="n">
        <f aca="false">IF(B11-D11&lt;0,0,B11-D11)</f>
        <v>7786.69764054764</v>
      </c>
      <c r="G11" s="17" t="n">
        <f aca="false">D11*Annahmen!$B$18</f>
        <v>1341.70790114052</v>
      </c>
      <c r="H11" s="2" t="n">
        <f aca="false"> F11 * ( (10/15) * Annahmen!$B$19 + (5/15) * Annahmen!$B$20 )</f>
        <v>578.551634692689</v>
      </c>
      <c r="I11" s="2" t="n">
        <v>-150</v>
      </c>
      <c r="J11" s="2" t="n">
        <f aca="false">SUM(G11:I11)</f>
        <v>1770.25953583321</v>
      </c>
      <c r="K11" s="13" t="n">
        <f aca="false">J11/Annahmen!$B$14</f>
        <v>0.0983047163704559</v>
      </c>
      <c r="L11" s="2" t="n">
        <f aca="false">L10+J11</f>
        <v>17042.1522841087</v>
      </c>
      <c r="M11" s="2" t="n">
        <f aca="false">J11/(1+Annahmen!$B$39)^A11</f>
        <v>1356.75652885343</v>
      </c>
      <c r="N11" s="18" t="str">
        <f aca="false">IF(L11&gt;=Annahmen!$B$14,"JA","")</f>
        <v/>
      </c>
      <c r="O11" s="0" t="n">
        <f aca="false">A11</f>
        <v>9</v>
      </c>
    </row>
    <row r="12" customFormat="false" ht="13.8" hidden="false" customHeight="false" outlineLevel="0" collapsed="false">
      <c r="A12" s="0" t="n">
        <v>10</v>
      </c>
      <c r="B12" s="5" t="n">
        <f aca="false">B11*(1-Annahmen!$B$11)</f>
        <v>11919.6371574537</v>
      </c>
      <c r="C12" s="0" t="n">
        <v>18000</v>
      </c>
      <c r="D12" s="5" t="n">
        <f aca="false">B12*E12</f>
        <v>4171.87300510879</v>
      </c>
      <c r="E12" s="16" t="n">
        <v>0.35</v>
      </c>
      <c r="F12" s="5" t="n">
        <f aca="false">IF(B12-D12&lt;0,0,B12-D12)</f>
        <v>7747.7641523449</v>
      </c>
      <c r="G12" s="17" t="n">
        <f aca="false">D12*Annahmen!$B$18</f>
        <v>1334.99936163481</v>
      </c>
      <c r="H12" s="2" t="n">
        <f aca="false"> F12 * ( (10/15) * Annahmen!$B$19 + (5/15) * Annahmen!$B$20 )</f>
        <v>575.658876519226</v>
      </c>
      <c r="I12" s="2" t="n">
        <v>-150</v>
      </c>
      <c r="J12" s="2" t="n">
        <f aca="false">SUM(G12:I12)</f>
        <v>1760.65823815404</v>
      </c>
      <c r="K12" s="13" t="n">
        <f aca="false">J12/Annahmen!$B$14</f>
        <v>0.0977715443546958</v>
      </c>
      <c r="L12" s="2" t="n">
        <f aca="false">L11+J12</f>
        <v>18802.8105222627</v>
      </c>
      <c r="M12" s="2" t="n">
        <f aca="false">J12/(1+Annahmen!$B$39)^A12</f>
        <v>1310.09508122321</v>
      </c>
      <c r="N12" s="18" t="str">
        <f aca="false">IF(L12&gt;=Annahmen!$B$14,"JA","")</f>
        <v>JA</v>
      </c>
      <c r="O12" s="0" t="n">
        <f aca="false">A12</f>
        <v>10</v>
      </c>
    </row>
    <row r="13" customFormat="false" ht="13.8" hidden="false" customHeight="false" outlineLevel="0" collapsed="false">
      <c r="A13" s="0" t="n">
        <v>11</v>
      </c>
      <c r="B13" s="5" t="n">
        <f aca="false">B12*(1-Annahmen!$B$11)</f>
        <v>11860.0389716664</v>
      </c>
      <c r="C13" s="0" t="n">
        <v>15000</v>
      </c>
      <c r="D13" s="5" t="n">
        <f aca="false">B13*E13</f>
        <v>3558.01169149993</v>
      </c>
      <c r="E13" s="16" t="n">
        <v>0.3</v>
      </c>
      <c r="F13" s="5" t="n">
        <f aca="false">IF(B13-D13&lt;0,0,B13-D13)</f>
        <v>8302.0272801665</v>
      </c>
      <c r="G13" s="17" t="n">
        <f aca="false">D13*Annahmen!$B$18</f>
        <v>1138.56374127998</v>
      </c>
      <c r="H13" s="2" t="n">
        <f aca="false"> F13 * ( (10/15) * Annahmen!$B$19 + (5/15) * Annahmen!$B$20 )</f>
        <v>616.840626916371</v>
      </c>
      <c r="I13" s="2" t="n">
        <v>-150</v>
      </c>
      <c r="J13" s="2" t="n">
        <f aca="false">SUM(G13:I13)</f>
        <v>1605.40436819635</v>
      </c>
      <c r="K13" s="13" t="n">
        <f aca="false">J13/Annahmen!$B$14</f>
        <v>0.089150103632207</v>
      </c>
      <c r="L13" s="2" t="n">
        <f aca="false">L12+J13</f>
        <v>20408.2148904591</v>
      </c>
      <c r="M13" s="2" t="n">
        <f aca="false">J13/(1+Annahmen!$B$39)^A13</f>
        <v>1159.77827312963</v>
      </c>
      <c r="N13" s="18" t="str">
        <f aca="false">IF(L13&gt;=Annahmen!$B$14,"JA","")</f>
        <v>JA</v>
      </c>
      <c r="O13" s="0" t="n">
        <f aca="false">A13</f>
        <v>11</v>
      </c>
    </row>
    <row r="14" customFormat="false" ht="13.8" hidden="false" customHeight="false" outlineLevel="0" collapsed="false">
      <c r="A14" s="0" t="n">
        <v>12</v>
      </c>
      <c r="B14" s="5" t="n">
        <f aca="false">B13*(1-Annahmen!$B$11)</f>
        <v>11800.7387768081</v>
      </c>
      <c r="C14" s="0" t="n">
        <v>15000</v>
      </c>
      <c r="D14" s="5" t="n">
        <f aca="false">B14*E14</f>
        <v>3540.22163304243</v>
      </c>
      <c r="E14" s="16" t="n">
        <v>0.3</v>
      </c>
      <c r="F14" s="5" t="n">
        <f aca="false">IF(B14-D14&lt;0,0,B14-D14)</f>
        <v>8260.51714376567</v>
      </c>
      <c r="G14" s="17" t="n">
        <f aca="false">D14*Annahmen!$B$18</f>
        <v>1132.87092257358</v>
      </c>
      <c r="H14" s="2" t="n">
        <f aca="false"> F14 * ( (10/15) * Annahmen!$B$19 + (5/15) * Annahmen!$B$20 )</f>
        <v>613.756423781789</v>
      </c>
      <c r="I14" s="2" t="n">
        <v>-150</v>
      </c>
      <c r="J14" s="2" t="n">
        <f aca="false">SUM(G14:I14)</f>
        <v>1596.62734635537</v>
      </c>
      <c r="K14" s="13" t="n">
        <f aca="false">J14/Annahmen!$B$14</f>
        <v>0.0886627046801381</v>
      </c>
      <c r="L14" s="2" t="n">
        <f aca="false">L13+J14</f>
        <v>22004.8422368144</v>
      </c>
      <c r="M14" s="2" t="n">
        <f aca="false">J14/(1+Annahmen!$B$39)^A14</f>
        <v>1119.84229689955</v>
      </c>
      <c r="N14" s="18" t="str">
        <f aca="false">IF(L14&gt;=Annahmen!$B$14,"JA","")</f>
        <v>JA</v>
      </c>
      <c r="O14" s="0" t="n">
        <f aca="false">A14</f>
        <v>12</v>
      </c>
    </row>
    <row r="15" customFormat="false" ht="13.8" hidden="false" customHeight="false" outlineLevel="0" collapsed="false">
      <c r="A15" s="0" t="n">
        <v>13</v>
      </c>
      <c r="B15" s="5" t="n">
        <f aca="false">B14*(1-Annahmen!$B$11)</f>
        <v>11741.7350829241</v>
      </c>
      <c r="C15" s="0" t="n">
        <v>15000</v>
      </c>
      <c r="D15" s="5" t="n">
        <f aca="false">B15*E15</f>
        <v>3522.52052487722</v>
      </c>
      <c r="E15" s="16" t="n">
        <v>0.3</v>
      </c>
      <c r="F15" s="5" t="n">
        <f aca="false">IF(B15-D15&lt;0,0,B15-D15)</f>
        <v>8219.21455804684</v>
      </c>
      <c r="G15" s="17" t="n">
        <f aca="false">D15*Annahmen!$B$18</f>
        <v>1127.20656796071</v>
      </c>
      <c r="H15" s="2" t="n">
        <f aca="false"> F15 * ( (10/15) * Annahmen!$B$19 + (5/15) * Annahmen!$B$20 )</f>
        <v>610.68764166288</v>
      </c>
      <c r="I15" s="2" t="n">
        <v>-150</v>
      </c>
      <c r="J15" s="2" t="n">
        <f aca="false">SUM(G15:I15)</f>
        <v>1587.89420962359</v>
      </c>
      <c r="K15" s="13" t="n">
        <f aca="false">J15/Annahmen!$B$14</f>
        <v>0.0881777427228296</v>
      </c>
      <c r="L15" s="2" t="n">
        <f aca="false">L14+J15</f>
        <v>23592.736446438</v>
      </c>
      <c r="M15" s="2" t="n">
        <f aca="false">J15/(1+Annahmen!$B$39)^A15</f>
        <v>1081.27868981059</v>
      </c>
      <c r="N15" s="18" t="str">
        <f aca="false">IF(L15&gt;=Annahmen!$B$14,"JA","")</f>
        <v>JA</v>
      </c>
      <c r="O15" s="0" t="n">
        <f aca="false">A15</f>
        <v>13</v>
      </c>
    </row>
    <row r="16" customFormat="false" ht="13.8" hidden="false" customHeight="false" outlineLevel="0" collapsed="false">
      <c r="A16" s="0" t="n">
        <v>14</v>
      </c>
      <c r="B16" s="5" t="n">
        <f aca="false">B15*(1-Annahmen!$B$11)</f>
        <v>11683.0264075094</v>
      </c>
      <c r="C16" s="0" t="n">
        <v>15000</v>
      </c>
      <c r="D16" s="5" t="n">
        <f aca="false">B16*E16</f>
        <v>3504.90792225283</v>
      </c>
      <c r="E16" s="16" t="n">
        <v>0.3</v>
      </c>
      <c r="F16" s="5" t="n">
        <f aca="false">IF(B16-D16&lt;0,0,B16-D16)</f>
        <v>8178.1184852566</v>
      </c>
      <c r="G16" s="17" t="n">
        <f aca="false">D16*Annahmen!$B$18</f>
        <v>1121.57053512091</v>
      </c>
      <c r="H16" s="2" t="n">
        <f aca="false"> F16 * ( (10/15) * Annahmen!$B$19 + (5/15) * Annahmen!$B$20 )</f>
        <v>607.634203454565</v>
      </c>
      <c r="I16" s="2" t="n">
        <v>-150</v>
      </c>
      <c r="J16" s="2" t="n">
        <f aca="false">SUM(G16:I16)</f>
        <v>1579.20473857547</v>
      </c>
      <c r="K16" s="13" t="n">
        <f aca="false">J16/Annahmen!$B$14</f>
        <v>0.0876952055753076</v>
      </c>
      <c r="L16" s="2" t="n">
        <f aca="false">L15+J16</f>
        <v>25171.9411850135</v>
      </c>
      <c r="M16" s="2" t="n">
        <f aca="false">J16/(1+Annahmen!$B$39)^A16</f>
        <v>1044.04037170538</v>
      </c>
      <c r="N16" s="18" t="str">
        <f aca="false">IF(L16&gt;=Annahmen!$B$14,"JA","")</f>
        <v>JA</v>
      </c>
      <c r="O16" s="0" t="n">
        <f aca="false">A16</f>
        <v>14</v>
      </c>
    </row>
    <row r="17" customFormat="false" ht="13.8" hidden="false" customHeight="false" outlineLevel="0" collapsed="false">
      <c r="A17" s="0" t="n">
        <v>15</v>
      </c>
      <c r="B17" s="5" t="n">
        <f aca="false">B16*(1-Annahmen!$B$11)</f>
        <v>11624.6112754719</v>
      </c>
      <c r="C17" s="0" t="n">
        <v>15000</v>
      </c>
      <c r="D17" s="5" t="n">
        <f aca="false">B17*E17</f>
        <v>3487.38338264157</v>
      </c>
      <c r="E17" s="16" t="n">
        <v>0.3</v>
      </c>
      <c r="F17" s="5" t="n">
        <f aca="false">IF(B17-D17&lt;0,0,B17-D17)</f>
        <v>8137.22789283032</v>
      </c>
      <c r="G17" s="17" t="n">
        <f aca="false">D17*Annahmen!$B$18</f>
        <v>1115.9626824453</v>
      </c>
      <c r="H17" s="2" t="n">
        <f aca="false"> F17 * ( (10/15) * Annahmen!$B$19 + (5/15) * Annahmen!$B$20 )</f>
        <v>604.596032437293</v>
      </c>
      <c r="I17" s="2" t="n">
        <v>-150</v>
      </c>
      <c r="J17" s="2" t="n">
        <f aca="false">SUM(G17:I17)</f>
        <v>1570.55871488259</v>
      </c>
      <c r="K17" s="13" t="n">
        <f aca="false">J17/Annahmen!$B$14</f>
        <v>0.0872150811135233</v>
      </c>
      <c r="L17" s="2" t="n">
        <f aca="false">L16+J17</f>
        <v>26742.4998998961</v>
      </c>
      <c r="M17" s="2" t="n">
        <f aca="false">J17/(1+Annahmen!$B$39)^A17</f>
        <v>1008.08187523543</v>
      </c>
      <c r="N17" s="18" t="str">
        <f aca="false">IF(L17&gt;=Annahmen!$B$14,"JA","")</f>
        <v>JA</v>
      </c>
      <c r="O17" s="0" t="n">
        <f aca="false">A17</f>
        <v>15</v>
      </c>
    </row>
    <row r="18" customFormat="false" ht="13.8" hidden="false" customHeight="false" outlineLevel="0" collapsed="false">
      <c r="A18" s="0" t="n">
        <v>16</v>
      </c>
      <c r="B18" s="5" t="n">
        <f aca="false">B17*(1-Annahmen!$B$11)</f>
        <v>11566.4882190945</v>
      </c>
      <c r="C18" s="0" t="n">
        <v>15000</v>
      </c>
      <c r="D18" s="5" t="n">
        <f aca="false">B18*E18</f>
        <v>3469.94646572836</v>
      </c>
      <c r="E18" s="16" t="n">
        <v>0.3</v>
      </c>
      <c r="F18" s="5" t="n">
        <f aca="false">IF(B18-D18&lt;0,0,B18-D18)</f>
        <v>8096.54175336617</v>
      </c>
      <c r="G18" s="17" t="n">
        <f aca="false">D18*Annahmen!$B$18</f>
        <v>1110.38286903307</v>
      </c>
      <c r="H18" s="2" t="n">
        <f aca="false"> F18 * ( (10/15) * Annahmen!$B$19 + (5/15) * Annahmen!$B$20 )</f>
        <v>601.573052275106</v>
      </c>
      <c r="I18" s="2" t="n">
        <v>-150</v>
      </c>
      <c r="J18" s="2" t="n">
        <f aca="false">SUM(G18:I18)</f>
        <v>1561.95592130818</v>
      </c>
      <c r="K18" s="13" t="n">
        <f aca="false">J18/Annahmen!$B$14</f>
        <v>0.0867373572740478</v>
      </c>
      <c r="L18" s="2" t="n">
        <f aca="false">L17+J18</f>
        <v>28304.4558212043</v>
      </c>
      <c r="M18" s="2" t="n">
        <f aca="false">J18/(1+Annahmen!$B$39)^A18</f>
        <v>973.359290678352</v>
      </c>
      <c r="N18" s="18" t="str">
        <f aca="false">IF(L18&gt;=Annahmen!$B$14,"JA","")</f>
        <v>JA</v>
      </c>
      <c r="O18" s="0" t="n">
        <f aca="false">A18</f>
        <v>16</v>
      </c>
    </row>
    <row r="19" customFormat="false" ht="13.8" hidden="false" customHeight="false" outlineLevel="0" collapsed="false">
      <c r="A19" s="0" t="n">
        <v>17</v>
      </c>
      <c r="B19" s="5" t="n">
        <f aca="false">B18*(1-Annahmen!$B$11)</f>
        <v>11508.6557779991</v>
      </c>
      <c r="C19" s="0" t="n">
        <v>15000</v>
      </c>
      <c r="D19" s="5" t="n">
        <f aca="false">B19*E19</f>
        <v>3452.59673339972</v>
      </c>
      <c r="E19" s="16" t="n">
        <v>0.3</v>
      </c>
      <c r="F19" s="5" t="n">
        <f aca="false">IF(B19-D19&lt;0,0,B19-D19)</f>
        <v>8056.05904459934</v>
      </c>
      <c r="G19" s="17" t="n">
        <f aca="false">D19*Annahmen!$B$18</f>
        <v>1104.83095468791</v>
      </c>
      <c r="H19" s="2" t="n">
        <f aca="false"> F19 * ( (10/15) * Annahmen!$B$19 + (5/15) * Annahmen!$B$20 )</f>
        <v>598.565187013731</v>
      </c>
      <c r="I19" s="2" t="n">
        <v>-150</v>
      </c>
      <c r="J19" s="2" t="n">
        <f aca="false">SUM(G19:I19)</f>
        <v>1553.39614170164</v>
      </c>
      <c r="K19" s="13" t="n">
        <f aca="false">J19/Annahmen!$B$14</f>
        <v>0.0862620220537698</v>
      </c>
      <c r="L19" s="2" t="n">
        <f aca="false">L18+J19</f>
        <v>29857.8519629059</v>
      </c>
      <c r="M19" s="2" t="n">
        <f aca="false">J19/(1+Annahmen!$B$39)^A19</f>
        <v>939.830212641306</v>
      </c>
      <c r="N19" s="18" t="str">
        <f aca="false">IF(L19&gt;=Annahmen!$B$14,"JA","")</f>
        <v>JA</v>
      </c>
      <c r="O19" s="0" t="n">
        <f aca="false">A19</f>
        <v>17</v>
      </c>
    </row>
    <row r="20" customFormat="false" ht="13.8" hidden="false" customHeight="false" outlineLevel="0" collapsed="false">
      <c r="A20" s="0" t="n">
        <v>18</v>
      </c>
      <c r="B20" s="5" t="n">
        <f aca="false">B19*(1-Annahmen!$B$11)</f>
        <v>11451.1124991091</v>
      </c>
      <c r="C20" s="0" t="n">
        <v>15000</v>
      </c>
      <c r="D20" s="5" t="n">
        <f aca="false">B20*E20</f>
        <v>3435.33374973272</v>
      </c>
      <c r="E20" s="16" t="n">
        <v>0.3</v>
      </c>
      <c r="F20" s="5" t="n">
        <f aca="false">IF(B20-D20&lt;0,0,B20-D20)</f>
        <v>8015.77874937634</v>
      </c>
      <c r="G20" s="17" t="n">
        <f aca="false">D20*Annahmen!$B$18</f>
        <v>1099.30679991447</v>
      </c>
      <c r="H20" s="2" t="n">
        <f aca="false"> F20 * ( (10/15) * Annahmen!$B$19 + (5/15) * Annahmen!$B$20 )</f>
        <v>595.572361078662</v>
      </c>
      <c r="I20" s="2" t="n">
        <v>-150</v>
      </c>
      <c r="J20" s="2" t="n">
        <f aca="false">SUM(G20:I20)</f>
        <v>1544.87916099313</v>
      </c>
      <c r="K20" s="13" t="n">
        <f aca="false">J20/Annahmen!$B$14</f>
        <v>0.0857890635095931</v>
      </c>
      <c r="L20" s="2" t="n">
        <f aca="false">L19+J20</f>
        <v>31402.731123899</v>
      </c>
      <c r="M20" s="2" t="n">
        <f aca="false">J20/(1+Annahmen!$B$39)^A20</f>
        <v>907.453688586132</v>
      </c>
      <c r="N20" s="18" t="str">
        <f aca="false">IF(L20&gt;=Annahmen!$B$14,"JA","")</f>
        <v>JA</v>
      </c>
      <c r="O20" s="0" t="n">
        <f aca="false">A20</f>
        <v>18</v>
      </c>
    </row>
    <row r="21" customFormat="false" ht="13.8" hidden="false" customHeight="false" outlineLevel="0" collapsed="false">
      <c r="A21" s="0" t="n">
        <v>19</v>
      </c>
      <c r="B21" s="5" t="n">
        <f aca="false">B20*(1-Annahmen!$B$11)</f>
        <v>11393.8569366135</v>
      </c>
      <c r="C21" s="0" t="n">
        <v>15000</v>
      </c>
      <c r="D21" s="5" t="n">
        <f aca="false">B21*E21</f>
        <v>3418.15708098405</v>
      </c>
      <c r="E21" s="16" t="n">
        <v>0.3</v>
      </c>
      <c r="F21" s="5" t="n">
        <f aca="false">IF(B21-D21&lt;0,0,B21-D21)</f>
        <v>7975.69985562946</v>
      </c>
      <c r="G21" s="17" t="n">
        <f aca="false">D21*Annahmen!$B$18</f>
        <v>1093.8102659149</v>
      </c>
      <c r="H21" s="2" t="n">
        <f aca="false"> F21 * ( (10/15) * Annahmen!$B$19 + (5/15) * Annahmen!$B$20 )</f>
        <v>592.594499273269</v>
      </c>
      <c r="I21" s="2" t="n">
        <v>-150</v>
      </c>
      <c r="J21" s="2" t="n">
        <f aca="false">SUM(G21:I21)</f>
        <v>1536.40476518817</v>
      </c>
      <c r="K21" s="13" t="n">
        <f aca="false">J21/Annahmen!$B$14</f>
        <v>0.0853184697581373</v>
      </c>
      <c r="L21" s="2" t="n">
        <f aca="false">L20+J21</f>
        <v>32939.1358890872</v>
      </c>
      <c r="M21" s="2" t="n">
        <f aca="false">J21/(1+Annahmen!$B$39)^A21</f>
        <v>876.190169114067</v>
      </c>
      <c r="N21" s="18" t="str">
        <f aca="false">IF(L21&gt;=Annahmen!$B$14,"JA","")</f>
        <v>JA</v>
      </c>
      <c r="O21" s="0" t="n">
        <f aca="false">A21</f>
        <v>19</v>
      </c>
    </row>
    <row r="22" customFormat="false" ht="13.8" hidden="false" customHeight="false" outlineLevel="0" collapsed="false">
      <c r="A22" s="0" t="n">
        <v>20</v>
      </c>
      <c r="B22" s="5" t="n">
        <f aca="false">B21*(1-Annahmen!$B$11)</f>
        <v>11336.8876519304</v>
      </c>
      <c r="C22" s="0" t="n">
        <v>15000</v>
      </c>
      <c r="D22" s="5" t="n">
        <f aca="false">B22*E22</f>
        <v>3401.06629557913</v>
      </c>
      <c r="E22" s="16" t="n">
        <v>0.3</v>
      </c>
      <c r="F22" s="5" t="n">
        <f aca="false">IF(B22-D22&lt;0,0,B22-D22)</f>
        <v>7935.82135635131</v>
      </c>
      <c r="G22" s="17" t="n">
        <f aca="false">D22*Annahmen!$B$18</f>
        <v>1088.34121458532</v>
      </c>
      <c r="H22" s="2" t="n">
        <f aca="false"> F22 * ( (10/15) * Annahmen!$B$19 + (5/15) * Annahmen!$B$20 )</f>
        <v>589.631526776902</v>
      </c>
      <c r="I22" s="2" t="n">
        <v>-150</v>
      </c>
      <c r="J22" s="2" t="n">
        <f aca="false">SUM(G22:I22)</f>
        <v>1527.97274136222</v>
      </c>
      <c r="K22" s="13" t="n">
        <f aca="false">J22/Annahmen!$B$14</f>
        <v>0.0848502289754388</v>
      </c>
      <c r="L22" s="2" t="n">
        <f aca="false">L21+J22</f>
        <v>34467.1086304494</v>
      </c>
      <c r="M22" s="2" t="n">
        <f aca="false">J22/(1+Annahmen!$B$39)^A22</f>
        <v>846.001459949891</v>
      </c>
      <c r="N22" s="18" t="str">
        <f aca="false">IF(L22&gt;=Annahmen!$B$14,"JA","")</f>
        <v>JA</v>
      </c>
      <c r="O22" s="0" t="n">
        <f aca="false">A22</f>
        <v>20</v>
      </c>
    </row>
    <row r="23" customFormat="false" ht="13.8" hidden="false" customHeight="false" outlineLevel="0" collapsed="false">
      <c r="A23" s="0" t="n">
        <v>21</v>
      </c>
      <c r="B23" s="5" t="n">
        <f aca="false">B22*(1-Annahmen!$B$11)</f>
        <v>11280.2032136708</v>
      </c>
      <c r="C23" s="0" t="n">
        <v>15001</v>
      </c>
      <c r="D23" s="5" t="n">
        <f aca="false">B23*E23</f>
        <v>3384.06096410124</v>
      </c>
      <c r="E23" s="16" t="n">
        <v>0.3</v>
      </c>
      <c r="F23" s="5" t="n">
        <f aca="false">IF(B23-D23&lt;0,0,B23-D23)</f>
        <v>7896.14224956955</v>
      </c>
      <c r="G23" s="17" t="n">
        <f aca="false">D23*Annahmen!$B$18</f>
        <v>1082.8995085124</v>
      </c>
      <c r="H23" s="2" t="n">
        <f aca="false"> F23 * ( (10/15) * Annahmen!$B$19 + (5/15) * Annahmen!$B$20 )</f>
        <v>586.683369143018</v>
      </c>
      <c r="I23" s="2" t="n">
        <v>-149</v>
      </c>
      <c r="J23" s="2" t="n">
        <f aca="false">SUM(G23:I23)</f>
        <v>1520.58287765541</v>
      </c>
      <c r="K23" s="13" t="n">
        <f aca="false">J23/Annahmen!$B$14</f>
        <v>0.0844398606418642</v>
      </c>
      <c r="L23" s="2" t="n">
        <f aca="false">L22+J23</f>
        <v>35987.6915081048</v>
      </c>
      <c r="M23" s="2" t="n">
        <f aca="false">J23/(1+Annahmen!$B$39)^A23</f>
        <v>817.388224843387</v>
      </c>
      <c r="N23" s="18" t="str">
        <f aca="false">IF(L23&gt;=Annahmen!$B$14,"JA","")</f>
        <v>JA</v>
      </c>
      <c r="O23" s="0" t="n">
        <f aca="false">A23</f>
        <v>21</v>
      </c>
    </row>
    <row r="24" customFormat="false" ht="13.8" hidden="false" customHeight="false" outlineLevel="0" collapsed="false">
      <c r="A24" s="0" t="n">
        <v>22</v>
      </c>
      <c r="B24" s="5" t="n">
        <f aca="false">B23*(1-Annahmen!$B$11)</f>
        <v>11223.8021976024</v>
      </c>
      <c r="C24" s="0" t="n">
        <v>15002</v>
      </c>
      <c r="D24" s="5" t="n">
        <f aca="false">B24*E24</f>
        <v>3367.14065928073</v>
      </c>
      <c r="E24" s="16" t="n">
        <v>0.3</v>
      </c>
      <c r="F24" s="5" t="n">
        <f aca="false">IF(B24-D24&lt;0,0,B24-D24)</f>
        <v>7856.66153832171</v>
      </c>
      <c r="G24" s="17" t="n">
        <f aca="false">D24*Annahmen!$B$18</f>
        <v>1077.48501096983</v>
      </c>
      <c r="H24" s="2" t="n">
        <f aca="false"> F24 * ( (10/15) * Annahmen!$B$19 + (5/15) * Annahmen!$B$20 )</f>
        <v>583.749952297303</v>
      </c>
      <c r="I24" s="2" t="n">
        <v>-148</v>
      </c>
      <c r="J24" s="2" t="n">
        <f aca="false">SUM(G24:I24)</f>
        <v>1513.23496326714</v>
      </c>
      <c r="K24" s="13" t="n">
        <f aca="false">J24/Annahmen!$B$14</f>
        <v>0.0840318218061836</v>
      </c>
      <c r="L24" s="2" t="n">
        <f aca="false">L23+J24</f>
        <v>37500.926471372</v>
      </c>
      <c r="M24" s="2" t="n">
        <f aca="false">J24/(1+Annahmen!$B$39)^A24</f>
        <v>789.745979402453</v>
      </c>
      <c r="N24" s="18" t="str">
        <f aca="false">IF(L24&gt;=Annahmen!$B$14,"JA","")</f>
        <v>JA</v>
      </c>
      <c r="O24" s="0" t="n">
        <f aca="false">A24</f>
        <v>22</v>
      </c>
    </row>
    <row r="25" customFormat="false" ht="13.8" hidden="false" customHeight="false" outlineLevel="0" collapsed="false">
      <c r="A25" s="0" t="n">
        <v>23</v>
      </c>
      <c r="B25" s="5" t="n">
        <f aca="false">B24*(1-Annahmen!$B$11)</f>
        <v>11167.6831866144</v>
      </c>
      <c r="C25" s="0" t="n">
        <v>15003</v>
      </c>
      <c r="D25" s="5" t="n">
        <f aca="false">B25*E25</f>
        <v>3350.30495598433</v>
      </c>
      <c r="E25" s="16" t="n">
        <v>0.3</v>
      </c>
      <c r="F25" s="5" t="n">
        <f aca="false">IF(B25-D25&lt;0,0,B25-D25)</f>
        <v>7817.3782306301</v>
      </c>
      <c r="G25" s="17" t="n">
        <f aca="false">D25*Annahmen!$B$18</f>
        <v>1072.09758591498</v>
      </c>
      <c r="H25" s="2" t="n">
        <f aca="false"> F25 * ( (10/15) * Annahmen!$B$19 + (5/15) * Annahmen!$B$20 )</f>
        <v>580.831202535816</v>
      </c>
      <c r="I25" s="2" t="n">
        <v>-147</v>
      </c>
      <c r="J25" s="2" t="n">
        <f aca="false">SUM(G25:I25)</f>
        <v>1505.9287884508</v>
      </c>
      <c r="K25" s="13" t="n">
        <f aca="false">J25/Annahmen!$B$14</f>
        <v>0.0836261008209074</v>
      </c>
      <c r="L25" s="2" t="n">
        <f aca="false">L24+J25</f>
        <v>39006.8552598228</v>
      </c>
      <c r="M25" s="2" t="n">
        <f aca="false">J25/(1+Annahmen!$B$39)^A25</f>
        <v>763.041690830748</v>
      </c>
      <c r="N25" s="18" t="str">
        <f aca="false">IF(L25&gt;=Annahmen!$B$14,"JA","")</f>
        <v>JA</v>
      </c>
      <c r="O25" s="0" t="n">
        <f aca="false">A25</f>
        <v>23</v>
      </c>
    </row>
    <row r="26" customFormat="false" ht="13.8" hidden="false" customHeight="false" outlineLevel="0" collapsed="false">
      <c r="A26" s="0" t="n">
        <v>24</v>
      </c>
      <c r="B26" s="5" t="n">
        <f aca="false">B25*(1-Annahmen!$B$11)</f>
        <v>11111.8447706814</v>
      </c>
      <c r="C26" s="0" t="n">
        <v>15004</v>
      </c>
      <c r="D26" s="5" t="n">
        <f aca="false">B26*E26</f>
        <v>3333.55343120441</v>
      </c>
      <c r="E26" s="16" t="n">
        <v>0.3</v>
      </c>
      <c r="F26" s="5" t="n">
        <f aca="false">IF(B26-D26&lt;0,0,B26-D26)</f>
        <v>7778.29133947695</v>
      </c>
      <c r="G26" s="17" t="n">
        <f aca="false">D26*Annahmen!$B$18</f>
        <v>1066.73709798541</v>
      </c>
      <c r="H26" s="2" t="n">
        <f aca="false"> F26 * ( (10/15) * Annahmen!$B$19 + (5/15) * Annahmen!$B$20 )</f>
        <v>577.927046523137</v>
      </c>
      <c r="I26" s="2" t="n">
        <v>-146</v>
      </c>
      <c r="J26" s="2" t="n">
        <f aca="false">SUM(G26:I26)</f>
        <v>1498.66414450855</v>
      </c>
      <c r="K26" s="13" t="n">
        <f aca="false">J26/Annahmen!$B$14</f>
        <v>0.0832226860967836</v>
      </c>
      <c r="L26" s="2" t="n">
        <f aca="false">L25+J26</f>
        <v>40505.5194043313</v>
      </c>
      <c r="M26" s="2" t="n">
        <f aca="false">J26/(1+Annahmen!$B$39)^A26</f>
        <v>737.243452126143</v>
      </c>
      <c r="N26" s="18" t="str">
        <f aca="false">IF(L26&gt;=Annahmen!$B$14,"JA","")</f>
        <v>JA</v>
      </c>
      <c r="O26" s="0" t="n">
        <f aca="false">A26</f>
        <v>24</v>
      </c>
    </row>
    <row r="27" customFormat="false" ht="13.8" hidden="false" customHeight="false" outlineLevel="0" collapsed="false">
      <c r="A27" s="0" t="n">
        <v>25</v>
      </c>
      <c r="B27" s="5" t="n">
        <f aca="false">B26*(1-Annahmen!$B$11)</f>
        <v>11056.2855468279</v>
      </c>
      <c r="C27" s="0" t="n">
        <v>15005</v>
      </c>
      <c r="D27" s="5" t="n">
        <f aca="false">B27*E27</f>
        <v>3316.88566404838</v>
      </c>
      <c r="E27" s="16" t="n">
        <v>0.3</v>
      </c>
      <c r="F27" s="5" t="n">
        <f aca="false">IF(B27-D27&lt;0,0,B27-D27)</f>
        <v>7739.39988277956</v>
      </c>
      <c r="G27" s="17" t="n">
        <f aca="false">D27*Annahmen!$B$18</f>
        <v>1061.40341249548</v>
      </c>
      <c r="H27" s="2" t="n">
        <f aca="false"> F27 * ( (10/15) * Annahmen!$B$19 + (5/15) * Annahmen!$B$20 )</f>
        <v>575.037411290521</v>
      </c>
      <c r="I27" s="2" t="n">
        <v>-145</v>
      </c>
      <c r="J27" s="2" t="n">
        <f aca="false">SUM(G27:I27)</f>
        <v>1491.440823786</v>
      </c>
      <c r="K27" s="13" t="n">
        <f aca="false">J27/Annahmen!$B$14</f>
        <v>0.0828215661025065</v>
      </c>
      <c r="L27" s="2" t="n">
        <f aca="false">L26+J27</f>
        <v>41996.9602281173</v>
      </c>
      <c r="M27" s="2" t="n">
        <f aca="false">J27/(1+Annahmen!$B$39)^A27</f>
        <v>712.320443664392</v>
      </c>
      <c r="N27" s="18" t="str">
        <f aca="false">IF(L27&gt;=Annahmen!$B$14,"JA","")</f>
        <v>JA</v>
      </c>
      <c r="O27" s="0" t="n">
        <f aca="false">A27</f>
        <v>25</v>
      </c>
    </row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>
      <c r="N30" s="0" t="n">
        <v>2</v>
      </c>
    </row>
  </sheetData>
  <autoFilter ref="A1:N2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0.16015625" defaultRowHeight="14.05" customHeight="false" zeroHeight="false" outlineLevelRow="0" outlineLevelCol="0"/>
  <cols>
    <col collapsed="false" customWidth="true" hidden="false" outlineLevel="0" max="1" min="1" style="0" width="14.21"/>
    <col collapsed="false" customWidth="true" hidden="false" outlineLevel="0" max="3" min="2" style="0" width="12.72"/>
    <col collapsed="false" customWidth="true" hidden="false" outlineLevel="0" max="5" min="4" style="0" width="13.71"/>
    <col collapsed="false" customWidth="true" hidden="false" outlineLevel="0" max="1024" min="6" style="0" width="8.59"/>
  </cols>
  <sheetData>
    <row r="1" customFormat="false" ht="13.8" hidden="false" customHeight="false" outlineLevel="0" collapsed="false">
      <c r="A1" s="0" t="s">
        <v>42</v>
      </c>
    </row>
    <row r="2" customFormat="false" ht="13.8" hidden="false" customHeight="false" outlineLevel="0" collapsed="false"/>
    <row r="3" customFormat="false" ht="13.8" hidden="false" customHeight="false" outlineLevel="0" collapsed="false">
      <c r="A3" s="1" t="s">
        <v>9</v>
      </c>
      <c r="B3" s="19" t="n">
        <v>0.8</v>
      </c>
      <c r="C3" s="19" t="n">
        <v>0.9</v>
      </c>
      <c r="D3" s="20" t="n">
        <v>1</v>
      </c>
      <c r="E3" s="19" t="n">
        <v>1.1</v>
      </c>
      <c r="F3" s="1" t="s">
        <v>43</v>
      </c>
      <c r="G3" s="1"/>
    </row>
    <row r="4" customFormat="false" ht="13.8" hidden="false" customHeight="false" outlineLevel="0" collapsed="false">
      <c r="A4" s="2" t="n">
        <v>0.25</v>
      </c>
      <c r="B4" s="21" t="n">
        <f aca="false">Annahmen!$B$14/((Annahmen!$B$10*B$3*(0.37*$A4+0.63*(Annahmen!$B$19*10/15+Annahmen!$B$20*5/15)))-Annahmen!$B$15)</f>
        <v>16.2376656317222</v>
      </c>
      <c r="C4" s="21" t="n">
        <f aca="false">Annahmen!$B$14/((Annahmen!$B$10*C$3*(0.37*$A4+0.63*(Annahmen!$B$19*10/15+Annahmen!$B$20*5/15)))-Annahmen!$B$15)</f>
        <v>14.2197814690132</v>
      </c>
      <c r="D4" s="22" t="n">
        <f aca="false">Annahmen!$B$14/((Annahmen!$B$10*D$3*(0.37*$A4+0.63*(Annahmen!$B$19*10/15+Annahmen!$B$20*5/15)))-Annahmen!$B$15)</f>
        <v>12.6479924981734</v>
      </c>
      <c r="E4" s="21" t="n">
        <f aca="false">Annahmen!$B$14/((Annahmen!$B$10*E$3*(0.37*$A4+0.63*(Annahmen!$B$19*10/15+Annahmen!$B$20*5/15)))-Annahmen!$B$15)</f>
        <v>11.3890945825029</v>
      </c>
      <c r="F4" s="23"/>
    </row>
    <row r="5" customFormat="false" ht="13.8" hidden="false" customHeight="false" outlineLevel="0" collapsed="false">
      <c r="A5" s="2" t="n">
        <v>0.3</v>
      </c>
      <c r="B5" s="21" t="n">
        <f aca="false">Annahmen!$B$14/((Annahmen!$B$10*B$3*(0.37*$A5+0.63*(Annahmen!$B$19*10/15+Annahmen!$B$20*5/15)))-Annahmen!$B$15)</f>
        <v>14.1103853069608</v>
      </c>
      <c r="C5" s="21" t="n">
        <f aca="false">Annahmen!$B$14/((Annahmen!$B$10*C$3*(0.37*$A5+0.63*(Annahmen!$B$19*10/15+Annahmen!$B$20*5/15)))-Annahmen!$B$15)</f>
        <v>12.3808772153578</v>
      </c>
      <c r="D5" s="22" t="n">
        <f aca="false">Annahmen!$B$14/((Annahmen!$B$10*D$3*(0.37*$A5+0.63*(Annahmen!$B$19*10/15+Annahmen!$B$20*5/15)))-Annahmen!$B$15)</f>
        <v>11.0290482108112</v>
      </c>
      <c r="E5" s="21" t="n">
        <f aca="false">Annahmen!$B$14/((Annahmen!$B$10*E$3*(0.37*$A5+0.63*(Annahmen!$B$19*10/15+Annahmen!$B$20*5/15)))-Annahmen!$B$15)</f>
        <v>9.94336363960069</v>
      </c>
      <c r="F5" s="23"/>
    </row>
    <row r="6" customFormat="false" ht="13.8" hidden="false" customHeight="false" outlineLevel="0" collapsed="false">
      <c r="A6" s="24" t="n">
        <v>0.32</v>
      </c>
      <c r="B6" s="22" t="n">
        <f aca="false">Annahmen!$B$14/((Annahmen!$B$10*B$3*(0.37*$A6+0.63*(Annahmen!$B$19*10/15+Annahmen!$B$20*5/15)))-Annahmen!$B$15)</f>
        <v>13.4077699001783</v>
      </c>
      <c r="C6" s="22" t="n">
        <f aca="false">Annahmen!$B$14/((Annahmen!$B$10*C$3*(0.37*$A6+0.63*(Annahmen!$B$19*10/15+Annahmen!$B$20*5/15)))-Annahmen!$B$15)</f>
        <v>11.7719377208699</v>
      </c>
      <c r="D6" s="22" t="n">
        <f aca="false">Annahmen!$B$14/((Annahmen!$B$10*D$3*(0.37*$A6+0.63*(Annahmen!$B$19*10/15+Annahmen!$B$20*5/15)))-Annahmen!$B$15)</f>
        <v>10.4918643425085</v>
      </c>
      <c r="E6" s="22" t="n">
        <f aca="false">Annahmen!$B$14/((Annahmen!$B$10*E$3*(0.37*$A6+0.63*(Annahmen!$B$19*10/15+Annahmen!$B$20*5/15)))-Annahmen!$B$15)</f>
        <v>9.4628768453238</v>
      </c>
      <c r="F6" s="23"/>
    </row>
    <row r="7" customFormat="false" ht="13.8" hidden="false" customHeight="false" outlineLevel="0" collapsed="false">
      <c r="A7" s="2" t="n">
        <v>0.35</v>
      </c>
      <c r="B7" s="21" t="n">
        <f aca="false">Annahmen!$B$14/((Annahmen!$B$10*B$3*(0.37*$A7+0.63*(Annahmen!$B$19*10/15+Annahmen!$B$20*5/15)))-Annahmen!$B$15)</f>
        <v>12.4759266426432</v>
      </c>
      <c r="C7" s="21" t="n">
        <f aca="false">Annahmen!$B$14/((Annahmen!$B$10*C$3*(0.37*$A7+0.63*(Annahmen!$B$19*10/15+Annahmen!$B$20*5/15)))-Annahmen!$B$15)</f>
        <v>10.9631243451358</v>
      </c>
      <c r="D7" s="22" t="n">
        <f aca="false">Annahmen!$B$14/((Annahmen!$B$10*D$3*(0.37*$A7+0.63*(Annahmen!$B$19*10/15+Annahmen!$B$20*5/15)))-Annahmen!$B$15)</f>
        <v>9.77752415457254</v>
      </c>
      <c r="E7" s="21" t="n">
        <f aca="false">Annahmen!$B$14/((Annahmen!$B$10*E$3*(0.37*$A7+0.63*(Annahmen!$B$19*10/15+Annahmen!$B$20*5/15)))-Annahmen!$B$15)</f>
        <v>8.82333061212828</v>
      </c>
      <c r="F7" s="23"/>
    </row>
    <row r="8" customFormat="false" ht="13.8" hidden="false" customHeight="false" outlineLevel="0" collapsed="false">
      <c r="A8" s="2" t="n">
        <v>0.4</v>
      </c>
      <c r="B8" s="21" t="n">
        <f aca="false">Annahmen!$B$14/((Annahmen!$B$10*B$3*(0.37*$A8+0.63*(Annahmen!$B$19*10/15+Annahmen!$B$20*5/15)))-Annahmen!$B$15)</f>
        <v>11.1808114650233</v>
      </c>
      <c r="C8" s="21" t="n">
        <f aca="false">Annahmen!$B$14/((Annahmen!$B$10*C$3*(0.37*$A8+0.63*(Annahmen!$B$19*10/15+Annahmen!$B$20*5/15)))-Annahmen!$B$15)</f>
        <v>9.83670810594986</v>
      </c>
      <c r="D8" s="22" t="n">
        <f aca="false">Annahmen!$B$14/((Annahmen!$B$10*D$3*(0.37*$A8+0.63*(Annahmen!$B$19*10/15+Annahmen!$B$20*5/15)))-Annahmen!$B$15)</f>
        <v>8.78108796057407</v>
      </c>
      <c r="E8" s="21" t="n">
        <f aca="false">Annahmen!$B$14/((Annahmen!$B$10*E$3*(0.37*$A8+0.63*(Annahmen!$B$19*10/15+Annahmen!$B$20*5/15)))-Annahmen!$B$15)</f>
        <v>7.9300767593306</v>
      </c>
      <c r="F8" s="23"/>
    </row>
    <row r="9" customFormat="false" ht="13.8" hidden="false" customHeight="false" outlineLevel="0" collapsed="false"/>
    <row r="10" customFormat="false" ht="13.8" hidden="false" customHeight="false" outlineLevel="0" collapsed="false">
      <c r="A10" s="0" t="s">
        <v>44</v>
      </c>
    </row>
    <row r="11" customFormat="false" ht="13.8" hidden="false" customHeight="false" outlineLevel="0" collapsed="false">
      <c r="A11" s="0" t="str">
        <f aca="false">"• Basis-Szenario (32 ct/kWh, 100% Ertrag): "&amp;ROUND(D6,2)&amp;" Jahre Amortisation (PVGIS-Daten: 7,2 Jahre)"</f>
        <v>• Basis-Szenario (32 ct/kWh, 100% Ertrag): 10,49 Jahre Amortisation (PVGIS-Daten: 7,2 Jahre)</v>
      </c>
    </row>
    <row r="12" customFormat="false" ht="13.8" hidden="false" customHeight="false" outlineLevel="0" collapsed="false">
      <c r="A12" s="0" t="s">
        <v>45</v>
      </c>
    </row>
    <row r="13" customFormat="false" ht="13.8" hidden="false" customHeight="false" outlineLevel="0" collapsed="false">
      <c r="A13" s="0" t="s">
        <v>46</v>
      </c>
    </row>
    <row r="14" customFormat="false" ht="13.8" hidden="false" customHeight="false" outlineLevel="0" collapsed="false">
      <c r="A14" s="0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36" activeCellId="0" sqref="A36"/>
    </sheetView>
  </sheetViews>
  <sheetFormatPr defaultColWidth="10.16015625" defaultRowHeight="14.05" customHeight="false" zeroHeight="false" outlineLevelRow="0" outlineLevelCol="0"/>
  <cols>
    <col collapsed="false" customWidth="true" hidden="false" outlineLevel="0" max="1" min="1" style="0" width="38.71"/>
    <col collapsed="false" customWidth="true" hidden="false" outlineLevel="0" max="2" min="2" style="0" width="40.04"/>
    <col collapsed="false" customWidth="true" hidden="false" outlineLevel="0" max="1024" min="3" style="0" width="8.59"/>
  </cols>
  <sheetData>
    <row r="1" customFormat="false" ht="13.8" hidden="false" customHeight="false" outlineLevel="0" collapsed="false">
      <c r="A1" s="0" t="s">
        <v>48</v>
      </c>
    </row>
    <row r="2" customFormat="false" ht="13.8" hidden="false" customHeight="false" outlineLevel="0" collapsed="false"/>
    <row r="3" customFormat="false" ht="13.8" hidden="false" customHeight="false" outlineLevel="0" collapsed="false">
      <c r="A3" s="0" t="s">
        <v>49</v>
      </c>
    </row>
    <row r="4" customFormat="false" ht="13.8" hidden="false" customHeight="false" outlineLevel="0" collapsed="false">
      <c r="A4" s="0" t="s">
        <v>50</v>
      </c>
      <c r="B4" s="0" t="s">
        <v>51</v>
      </c>
    </row>
    <row r="5" customFormat="false" ht="13.8" hidden="false" customHeight="false" outlineLevel="0" collapsed="false">
      <c r="A5" s="0" t="s">
        <v>52</v>
      </c>
      <c r="B5" s="0" t="s">
        <v>53</v>
      </c>
    </row>
    <row r="6" customFormat="false" ht="13.8" hidden="false" customHeight="false" outlineLevel="0" collapsed="false">
      <c r="A6" s="0" t="s">
        <v>54</v>
      </c>
      <c r="B6" s="0" t="s">
        <v>55</v>
      </c>
    </row>
    <row r="7" customFormat="false" ht="13.8" hidden="false" customHeight="false" outlineLevel="0" collapsed="false">
      <c r="A7" s="0" t="s">
        <v>56</v>
      </c>
      <c r="B7" s="0" t="s">
        <v>57</v>
      </c>
    </row>
    <row r="8" customFormat="false" ht="13.8" hidden="false" customHeight="false" outlineLevel="0" collapsed="false">
      <c r="A8" s="0" t="s">
        <v>58</v>
      </c>
      <c r="B8" s="4" t="n">
        <f aca="false">Übersicht!D5</f>
        <v>16.56</v>
      </c>
      <c r="C8" s="4" t="n">
        <v>15.48</v>
      </c>
    </row>
    <row r="9" customFormat="false" ht="13.8" hidden="false" customHeight="false" outlineLevel="0" collapsed="false">
      <c r="A9" s="0" t="s">
        <v>59</v>
      </c>
      <c r="B9" s="7" t="n">
        <v>753</v>
      </c>
    </row>
    <row r="10" customFormat="false" ht="13.8" hidden="false" customHeight="false" outlineLevel="0" collapsed="false">
      <c r="A10" s="0" t="s">
        <v>60</v>
      </c>
      <c r="B10" s="6" t="n">
        <v>11297</v>
      </c>
    </row>
    <row r="11" customFormat="false" ht="13.8" hidden="false" customHeight="false" outlineLevel="0" collapsed="false">
      <c r="A11" s="0" t="s">
        <v>61</v>
      </c>
      <c r="B11" s="25" t="n">
        <v>0.005</v>
      </c>
    </row>
    <row r="12" customFormat="false" ht="13.8" hidden="false" customHeight="false" outlineLevel="0" collapsed="false"/>
    <row r="13" customFormat="false" ht="13.8" hidden="false" customHeight="false" outlineLevel="0" collapsed="false">
      <c r="A13" s="0" t="s">
        <v>62</v>
      </c>
    </row>
    <row r="14" customFormat="false" ht="13.8" hidden="false" customHeight="false" outlineLevel="0" collapsed="false">
      <c r="A14" s="0" t="s">
        <v>63</v>
      </c>
      <c r="B14" s="2" t="n">
        <v>18007.88</v>
      </c>
    </row>
    <row r="15" customFormat="false" ht="13.8" hidden="false" customHeight="false" outlineLevel="0" collapsed="false">
      <c r="A15" s="0" t="s">
        <v>64</v>
      </c>
      <c r="B15" s="2" t="n">
        <v>150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0" t="s">
        <v>65</v>
      </c>
    </row>
    <row r="18" customFormat="false" ht="13.8" hidden="false" customHeight="false" outlineLevel="0" collapsed="false">
      <c r="A18" s="0" t="s">
        <v>66</v>
      </c>
      <c r="B18" s="8" t="n">
        <v>0.32</v>
      </c>
    </row>
    <row r="19" customFormat="false" ht="13.8" hidden="false" customHeight="false" outlineLevel="0" collapsed="false">
      <c r="A19" s="0" t="s">
        <v>67</v>
      </c>
      <c r="B19" s="8" t="n">
        <v>0.0778</v>
      </c>
    </row>
    <row r="20" customFormat="false" ht="13.8" hidden="false" customHeight="false" outlineLevel="0" collapsed="false">
      <c r="A20" s="0" t="s">
        <v>68</v>
      </c>
      <c r="B20" s="8" t="n">
        <v>0.0673</v>
      </c>
    </row>
    <row r="21" customFormat="false" ht="13.8" hidden="false" customHeight="false" outlineLevel="0" collapsed="false"/>
    <row r="22" customFormat="false" ht="13.8" hidden="false" customHeight="false" outlineLevel="0" collapsed="false">
      <c r="A22" s="0" t="s">
        <v>69</v>
      </c>
    </row>
    <row r="23" customFormat="false" ht="13.8" hidden="false" customHeight="false" outlineLevel="0" collapsed="false">
      <c r="A23" s="0" t="s">
        <v>70</v>
      </c>
      <c r="B23" s="0" t="s">
        <v>71</v>
      </c>
    </row>
    <row r="24" customFormat="false" ht="13.8" hidden="false" customHeight="false" outlineLevel="0" collapsed="false">
      <c r="B24" s="0" t="s">
        <v>72</v>
      </c>
    </row>
    <row r="25" customFormat="false" ht="13.8" hidden="false" customHeight="false" outlineLevel="0" collapsed="false">
      <c r="A25" s="0" t="s">
        <v>73</v>
      </c>
      <c r="B25" s="0" t="s">
        <v>74</v>
      </c>
    </row>
    <row r="26" customFormat="false" ht="13.8" hidden="false" customHeight="false" outlineLevel="0" collapsed="false">
      <c r="B26" s="0" t="s">
        <v>75</v>
      </c>
    </row>
    <row r="27" customFormat="false" ht="13.8" hidden="false" customHeight="false" outlineLevel="0" collapsed="false">
      <c r="A27" s="0" t="s">
        <v>76</v>
      </c>
      <c r="B27" s="0" t="s">
        <v>77</v>
      </c>
    </row>
    <row r="28" customFormat="false" ht="13.8" hidden="false" customHeight="false" outlineLevel="0" collapsed="false">
      <c r="B28" s="0" t="s">
        <v>78</v>
      </c>
    </row>
    <row r="29" customFormat="false" ht="13.8" hidden="false" customHeight="false" outlineLevel="0" collapsed="false"/>
    <row r="30" customFormat="false" ht="13.8" hidden="false" customHeight="false" outlineLevel="0" collapsed="false">
      <c r="A30" s="0" t="s">
        <v>79</v>
      </c>
    </row>
    <row r="31" customFormat="false" ht="13.8" hidden="false" customHeight="false" outlineLevel="0" collapsed="false">
      <c r="A31" s="0" t="s">
        <v>58</v>
      </c>
      <c r="B31" s="4" t="n">
        <v>11.28</v>
      </c>
    </row>
    <row r="32" customFormat="false" ht="13.8" hidden="false" customHeight="false" outlineLevel="0" collapsed="false">
      <c r="A32" s="0" t="s">
        <v>80</v>
      </c>
      <c r="B32" s="0" t="s">
        <v>81</v>
      </c>
    </row>
    <row r="33" customFormat="false" ht="13.8" hidden="false" customHeight="false" outlineLevel="0" collapsed="false">
      <c r="A33" s="0" t="s">
        <v>82</v>
      </c>
      <c r="B33" s="6" t="n">
        <v>12000</v>
      </c>
    </row>
    <row r="34" customFormat="false" ht="13.8" hidden="false" customHeight="false" outlineLevel="0" collapsed="false">
      <c r="A34" s="0" t="s">
        <v>83</v>
      </c>
      <c r="B34" s="25" t="n">
        <v>0.3</v>
      </c>
    </row>
    <row r="35" customFormat="false" ht="13.8" hidden="false" customHeight="false" outlineLevel="0" collapsed="false">
      <c r="A35" s="0" t="s">
        <v>84</v>
      </c>
      <c r="B35" s="8" t="n">
        <v>0.18</v>
      </c>
    </row>
    <row r="36" customFormat="false" ht="13.8" hidden="false" customHeight="false" outlineLevel="0" collapsed="false">
      <c r="A36" s="0" t="s">
        <v>85</v>
      </c>
      <c r="B36" s="26" t="n">
        <f aca="true">2013+20-YEAR(TODAY())</f>
        <v>7</v>
      </c>
    </row>
    <row r="37" customFormat="false" ht="13.8" hidden="false" customHeight="false" outlineLevel="0" collapsed="false"/>
    <row r="38" customFormat="false" ht="13.8" hidden="false" customHeight="false" outlineLevel="0" collapsed="false">
      <c r="A38" s="0" t="s">
        <v>86</v>
      </c>
    </row>
    <row r="39" customFormat="false" ht="13.8" hidden="false" customHeight="false" outlineLevel="0" collapsed="false">
      <c r="A39" s="0" t="s">
        <v>87</v>
      </c>
      <c r="B39" s="25" t="n">
        <v>0.03</v>
      </c>
    </row>
    <row r="40" customFormat="false" ht="13.8" hidden="false" customHeight="false" outlineLevel="0" collapsed="false">
      <c r="A40" s="0" t="s">
        <v>88</v>
      </c>
      <c r="B40" s="23" t="n">
        <v>20</v>
      </c>
    </row>
    <row r="41" customFormat="false" ht="13.8" hidden="false" customHeight="false" outlineLevel="0" collapsed="false">
      <c r="A41" s="0" t="s">
        <v>89</v>
      </c>
      <c r="B41" s="0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555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2026-02-02T10:07:52Z</dcterms:created>
  <dc:creator/>
  <dc:description/>
  <dc:language>de-DE</dc:language>
  <cp:lastModifiedBy/>
  <dcterms:modified xsi:type="dcterms:W3CDTF">2026-05-06T11:27:09Z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