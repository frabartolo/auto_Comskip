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Übersicht" sheetId="1" state="visible" r:id="rId1"/>
    <sheet name="Jahresrechnung" sheetId="2" state="visible" r:id="rId2"/>
    <sheet name="Sensitivität" sheetId="3" state="visible" r:id="rId3"/>
    <sheet name="Annahmen" sheetId="4" state="visible" r:id="rId4"/>
  </sheets>
  <definedNames>
    <definedName name="_xlnm._FilterDatabase" localSheetId="1" hidden="1">'Jahresrechnung'!$A$1:$N$22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.00\ [$€-407];[RED]\-#,##0.00\ [$€-407]"/>
    <numFmt numFmtId="165" formatCode="0&quot; kWp&quot;"/>
    <numFmt numFmtId="166" formatCode="#,##0&quot; kWh&quot;;\-#&quot;0 kWh&quot;"/>
    <numFmt numFmtId="167" formatCode="#,##0&quot; kWh/kWp&quot;;\-#&quot;0 kWh/kWp&quot;"/>
    <numFmt numFmtId="168" formatCode="#,##0.00&quot; €/kWh&quot;;\-#&quot;0,00 €/kWh&quot;"/>
    <numFmt numFmtId="169" formatCode="#,##0&quot;  Jahre&quot;;\-#,##0&quot;  Jahre&quot;"/>
    <numFmt numFmtId="170" formatCode="0.00\ %"/>
    <numFmt numFmtId="171" formatCode="0\ %"/>
    <numFmt numFmtId="172" formatCode="#,##0.0&quot;  Jahre&quot;;\-#,##0.0&quot;  Jahre&quot;"/>
  </numFmts>
  <fonts count="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i val="1"/>
      <color rgb="FF000000"/>
      <sz val="11"/>
      <u val="single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hair"/>
      <bottom style="hair"/>
      <diagonal/>
    </border>
    <border>
      <left/>
      <right/>
      <top/>
      <bottom style="hair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4" fontId="4" fillId="0" borderId="0" applyAlignment="1">
      <alignment horizontal="general" vertical="bottom"/>
    </xf>
  </cellStyleXfs>
  <cellXfs count="5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70" fontId="0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general" vertical="bottom"/>
    </xf>
    <xf numFmtId="170" fontId="5" fillId="2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2" fontId="0" fillId="2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165" fontId="0" fillId="0" borderId="0" applyAlignment="1" pivotButton="0" quotePrefix="0" xfId="0">
      <alignment horizontal="general" vertical="bottom"/>
    </xf>
    <xf numFmtId="1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9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70" fontId="0" fillId="0" borderId="2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71" fontId="0" fillId="0" borderId="0" applyAlignment="1" pivotButton="0" quotePrefix="0" xfId="0">
      <alignment horizontal="general" vertical="bottom"/>
    </xf>
    <xf numFmtId="170" fontId="5" fillId="0" borderId="0" applyAlignment="1" pivotButton="0" quotePrefix="0" xfId="0">
      <alignment horizontal="general" vertical="bottom"/>
    </xf>
    <xf numFmtId="170" fontId="5" fillId="2" borderId="0" applyAlignment="1" pivotButton="0" quotePrefix="0" xfId="0">
      <alignment horizontal="general" vertical="bottom"/>
    </xf>
    <xf numFmtId="172" fontId="0" fillId="0" borderId="0" applyAlignment="1" pivotButton="0" quotePrefix="0" xfId="0">
      <alignment horizontal="general" vertical="bottom"/>
    </xf>
    <xf numFmtId="172" fontId="0" fillId="2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7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Ergebnis 2" xfId="6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4" activeCellId="0" sqref="A24"/>
    </sheetView>
  </sheetViews>
  <sheetFormatPr baseColWidth="8" defaultColWidth="10.16015625" defaultRowHeight="14.05" customHeight="0" zeroHeight="0" outlineLevelRow="0"/>
  <cols>
    <col width="36.72" customWidth="1" style="27" min="1" max="1"/>
    <col width="14.58" customWidth="1" style="27" min="2" max="2"/>
    <col width="11.68" customWidth="1" style="27" min="3" max="3"/>
    <col width="8.59" customWidth="1" style="27" min="4" max="1024"/>
  </cols>
  <sheetData>
    <row r="1" ht="13.8" customHeight="1" s="28">
      <c r="A1" s="27" t="inlineStr">
        <is>
          <t>INVESTITIONSRECHNUNG NORDDACH-PV</t>
        </is>
      </c>
    </row>
    <row r="2" ht="13.8" customHeight="1" s="28"/>
    <row r="3" ht="13.8" customHeight="1" s="28">
      <c r="A3" s="29" t="inlineStr">
        <is>
          <t>Parameter</t>
        </is>
      </c>
      <c r="B3" s="29" t="inlineStr">
        <is>
          <t>Wert</t>
        </is>
      </c>
    </row>
    <row r="4" ht="13.8" customHeight="1" s="28">
      <c r="A4" s="27" t="inlineStr">
        <is>
          <t>Investition</t>
        </is>
      </c>
      <c r="B4" s="30">
        <f>Annahmen!B14</f>
        <v/>
      </c>
      <c r="C4" s="31" t="inlineStr">
        <is>
          <t>Plan Wp</t>
        </is>
      </c>
      <c r="D4" s="31" t="inlineStr">
        <is>
          <t>max Wp</t>
        </is>
      </c>
    </row>
    <row r="5" ht="13.8" customHeight="1" s="28">
      <c r="A5" s="27" t="inlineStr">
        <is>
          <t>Anlagengröße</t>
        </is>
      </c>
      <c r="B5" s="32">
        <f>Annahmen!B8</f>
        <v/>
      </c>
      <c r="C5" s="33">
        <f>D5/36*1000</f>
        <v/>
      </c>
      <c r="D5" s="32">
        <f>460*36/1000</f>
        <v/>
      </c>
    </row>
    <row r="6" ht="13.8" customHeight="1" s="28">
      <c r="A6" s="27" t="inlineStr">
        <is>
          <t>Jährlicher Ertrag (Jahr 1) - PVGIS</t>
        </is>
      </c>
      <c r="B6" s="34">
        <f>Annahmen!B10</f>
        <v/>
      </c>
    </row>
    <row r="7" ht="13.8" customHeight="1" s="28">
      <c r="A7" s="27" t="inlineStr">
        <is>
          <t>Spezifischer Ertrag - PVGIS</t>
        </is>
      </c>
      <c r="B7" s="35">
        <f>Annahmen!B9</f>
        <v/>
      </c>
    </row>
    <row r="8" ht="13.8" customHeight="1" s="28">
      <c r="A8" s="27" t="inlineStr">
        <is>
          <t>Strompreis</t>
        </is>
      </c>
      <c r="B8" s="36">
        <f>Annahmen!B18</f>
        <v/>
      </c>
    </row>
    <row r="9" ht="13.8" customHeight="1" s="28">
      <c r="A9" s="27" t="inlineStr">
        <is>
          <t>Einspeisevergütung (bis 10 kWp)</t>
        </is>
      </c>
      <c r="B9" s="36">
        <f>Annahmen!B19</f>
        <v/>
      </c>
    </row>
    <row r="10" ht="13.8" customHeight="1" s="28">
      <c r="A10" s="27" t="inlineStr">
        <is>
          <t>Einspeisevergütung (über 10 kWp)</t>
        </is>
      </c>
      <c r="B10" s="36">
        <f>Annahmen!B20</f>
        <v/>
      </c>
    </row>
    <row r="11" ht="13.8" customHeight="1" s="28"/>
    <row r="12" ht="13.8" customHeight="1" s="28">
      <c r="A12" s="29" t="inlineStr">
        <is>
          <t>ERGEBNISSE</t>
        </is>
      </c>
      <c r="B12" s="29" t="n"/>
    </row>
    <row r="13" ht="13.8" customHeight="1" s="28">
      <c r="A13" s="37" t="inlineStr">
        <is>
          <t>Amortisationszeit</t>
        </is>
      </c>
      <c r="B13" s="38">
        <f>VLOOKUP("JA", Jahresrechnung!N1:O27, 2, 0)</f>
        <v/>
      </c>
      <c r="C13" s="31" t="n"/>
    </row>
    <row r="14" ht="13.8" customHeight="1" s="28">
      <c r="A14" s="27" t="inlineStr">
        <is>
          <t>Gesamtertrag 20 Jahre (nominal)</t>
        </is>
      </c>
      <c r="B14" s="30">
        <f>MAX(Jahresrechnung!L2:L22)</f>
        <v/>
      </c>
    </row>
    <row r="15" ht="13.8" customHeight="1" s="28">
      <c r="A15" s="27" t="inlineStr">
        <is>
          <t>Gesamtertrag 20 Jahre (kumuliert)</t>
        </is>
      </c>
      <c r="B15" s="30">
        <f>MAX(Jahresrechnung!L2:L22)-Annahmen!$B$14</f>
        <v/>
      </c>
    </row>
    <row r="16" ht="13.8" customHeight="1" s="28">
      <c r="A16" s="27" t="inlineStr">
        <is>
          <t>Kapitalwert 20 Jahre (NPV, 3% Diskont)</t>
        </is>
      </c>
      <c r="B16" s="30">
        <f>NPV(Annahmen!B39,(-1*Annahmen!B14),Jahresrechnung!J3:J22)</f>
        <v/>
      </c>
    </row>
    <row r="17" ht="13.8" customHeight="1" s="28">
      <c r="A17" s="39" t="inlineStr">
        <is>
          <t>Interner Zinsfuß 20 Jahre (IRR)</t>
        </is>
      </c>
      <c r="B17" s="40">
        <f>IRR(Jahresrechnung!J2:J22)</f>
        <v/>
      </c>
      <c r="C17" s="41" t="n"/>
    </row>
    <row r="18" ht="13.8" customHeight="1" s="28">
      <c r="A18" s="27" t="inlineStr">
        <is>
          <t>Gesamtertrag 25 Jahre (nominal)</t>
        </is>
      </c>
      <c r="B18" s="30">
        <f>MAX(Jahresrechnung!L2:L27)</f>
        <v/>
      </c>
      <c r="C18" s="30" t="n"/>
    </row>
    <row r="19" ht="13.8" customHeight="1" s="28">
      <c r="A19" s="27" t="inlineStr">
        <is>
          <t>Gesamtertrag 25 Jahre (kumuliert)</t>
        </is>
      </c>
      <c r="B19" s="30">
        <f>MAX(Jahresrechnung!L2:L27)-Annahmen!$B$14</f>
        <v/>
      </c>
    </row>
    <row r="20" ht="13.8" customHeight="1" s="28">
      <c r="A20" s="27" t="inlineStr">
        <is>
          <t>Kapitalwert 25 Jahre(NPV, 3% Diskont)</t>
        </is>
      </c>
      <c r="B20" s="30">
        <f>NPV(Annahmen!B39,(-1*Annahmen!B14),Jahresrechnung!J3:J27)</f>
        <v/>
      </c>
    </row>
    <row r="21" ht="13.8" customHeight="1" s="28">
      <c r="A21" s="39" t="inlineStr">
        <is>
          <t>Interner Zinsfuß 25 Jahre (IRR)</t>
        </is>
      </c>
      <c r="B21" s="40">
        <f>IRR(Jahresrechnung!J2:J27)</f>
        <v/>
      </c>
      <c r="C21" s="41" t="n"/>
    </row>
    <row r="22" ht="13.8" customHeight="1" s="28"/>
    <row r="23" ht="13.8" customHeight="1" s="28">
      <c r="A23" s="29" t="inlineStr">
        <is>
          <t>INTERPRETATION</t>
        </is>
      </c>
      <c r="B23" s="29" t="n"/>
    </row>
    <row r="24" ht="13.8" customHeight="1" s="28">
      <c r="A24" s="27" t="inlineStr">
        <is>
          <t>Status</t>
        </is>
      </c>
      <c r="B24" s="27" t="inlineStr">
        <is>
          <t>✓ Wirtschaftlich rentabel</t>
        </is>
      </c>
    </row>
    <row r="25" ht="13.8" customHeight="1" s="28">
      <c r="A25" s="27" t="inlineStr">
        <is>
          <t>Bewertung</t>
        </is>
      </c>
      <c r="B25" s="27">
        <f>"Die Anlage amortisiert sich nach "&amp;B13&amp;" Jahren und erwirtschaftet über 25 Jahre einen Gewinn von "&amp; ROUND(B19,2) &amp; " € (nominal)."</f>
        <v/>
      </c>
    </row>
    <row r="26" ht="13.8" customHeight="1" s="28">
      <c r="B26" s="27" t="inlineStr">
        <is>
          <t>PVGIS-Simulation bestätigt mit 7,6% einen höheren Ertrag als konservativ geschätzt.</t>
        </is>
      </c>
    </row>
    <row r="27" ht="13.8" customHeight="1" s="28">
      <c r="A27" s="27" t="inlineStr">
        <is>
          <t>Rendite</t>
        </is>
      </c>
      <c r="B27" s="27">
        <f>"Die interne Verzinsung von " &amp; ROUND(B21*100,2) &amp; "% liegt deutlich über der üblichen sicheren anlageformen und der inflationsrate."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MJ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16015625" defaultRowHeight="14.05" customHeight="0" zeroHeight="0" outlineLevelRow="0"/>
  <cols>
    <col width="6.72" customWidth="1" style="27" min="1" max="1"/>
    <col width="15.65" customWidth="1" style="27" min="2" max="2"/>
    <col width="20.52" customWidth="1" style="27" min="3" max="3"/>
    <col width="20.17" customWidth="1" style="27" min="4" max="4"/>
    <col width="8.390000000000001" customWidth="1" style="27" min="5" max="5"/>
    <col width="17.56" customWidth="1" style="27" min="6" max="6"/>
    <col width="15.06" customWidth="1" style="27" min="7" max="7"/>
    <col width="20.64" customWidth="1" style="27" min="8" max="8"/>
    <col width="17.32" customWidth="1" style="30" min="9" max="9"/>
    <col width="19.57" customWidth="1" style="30" min="10" max="10"/>
    <col width="7.85" customWidth="1" style="30" min="11" max="11"/>
    <col width="13.51" customWidth="1" style="27" min="12" max="12"/>
    <col width="14.34" customWidth="1" style="27" min="13" max="13"/>
    <col width="13.39" customWidth="1" style="27" min="14" max="14"/>
    <col width="3.03" customWidth="1" style="27" min="15" max="15"/>
  </cols>
  <sheetData>
    <row r="1" ht="13.8" customHeight="1" s="28">
      <c r="A1" s="29" t="inlineStr">
        <is>
          <t>Jahr</t>
        </is>
      </c>
      <c r="B1" s="29" t="inlineStr">
        <is>
          <t>PV-Ertrag (kWh)</t>
        </is>
      </c>
      <c r="C1" s="29" t="inlineStr">
        <is>
          <t>Stromverbrauch (kWh)</t>
        </is>
      </c>
      <c r="D1" s="29" t="inlineStr">
        <is>
          <t>Eigenverbrauch (kWh)</t>
        </is>
      </c>
      <c r="E1" s="29" t="inlineStr">
        <is>
          <t>Quote</t>
        </is>
      </c>
      <c r="F1" s="29" t="inlineStr">
        <is>
          <t>Einspeisung (kWh)</t>
        </is>
      </c>
      <c r="G1" s="29" t="inlineStr">
        <is>
          <t>Ersparnis EV (€)</t>
        </is>
      </c>
      <c r="H1" s="29" t="inlineStr">
        <is>
          <t>Einspeisevergütung (€)</t>
        </is>
      </c>
      <c r="I1" s="42" t="inlineStr">
        <is>
          <t>Betriebskosten (€)</t>
        </is>
      </c>
      <c r="J1" s="42" t="inlineStr">
        <is>
          <t>Jahresertrag netto (€)</t>
        </is>
      </c>
      <c r="K1" s="42" t="inlineStr">
        <is>
          <t>RoI</t>
        </is>
      </c>
      <c r="L1" s="29" t="inlineStr">
        <is>
          <t>Kumuliert (€)</t>
        </is>
      </c>
      <c r="M1" s="29" t="inlineStr">
        <is>
          <t>Diskontiert (€)</t>
        </is>
      </c>
      <c r="N1" s="29" t="inlineStr">
        <is>
          <t>Amortisation</t>
        </is>
      </c>
      <c r="O1" s="29" t="inlineStr">
        <is>
          <t>PV-Alt (kWh)</t>
        </is>
      </c>
      <c r="P1" s="29" t="inlineStr">
        <is>
          <t>EV-Alt (kWh)</t>
        </is>
      </c>
      <c r="Q1" s="29" t="inlineStr">
        <is>
          <t>Einspeisung-Alt (kWh)</t>
        </is>
      </c>
      <c r="R1" s="29" t="inlineStr">
        <is>
          <t>Ersparnis EV-Alt (€)</t>
        </is>
      </c>
      <c r="S1" s="29" t="inlineStr">
        <is>
          <t>Einspeisevergütung-Alt (€)</t>
        </is>
      </c>
      <c r="T1" s="29" t="inlineStr">
        <is>
          <t>Alt-Ertrag netto (€)</t>
        </is>
      </c>
      <c r="U1" s="29" t="n"/>
      <c r="V1" s="29" t="n"/>
      <c r="W1" s="29" t="n"/>
      <c r="X1" s="29" t="n"/>
      <c r="Y1" s="29" t="n"/>
      <c r="Z1" s="29" t="n"/>
      <c r="AA1" s="29" t="n"/>
      <c r="AB1" s="29" t="n"/>
      <c r="AC1" s="29" t="n"/>
      <c r="AD1" s="29" t="n"/>
      <c r="AE1" s="29" t="n"/>
      <c r="AF1" s="29" t="n"/>
      <c r="AG1" s="29" t="n"/>
      <c r="AH1" s="29" t="n"/>
      <c r="AI1" s="29" t="n"/>
      <c r="AJ1" s="29" t="n"/>
      <c r="AK1" s="29" t="n"/>
      <c r="AL1" s="29" t="n"/>
      <c r="AM1" s="29" t="n"/>
      <c r="AN1" s="29" t="n"/>
      <c r="AO1" s="29" t="n"/>
      <c r="AP1" s="29" t="n"/>
      <c r="AQ1" s="29" t="n"/>
      <c r="AR1" s="29" t="n"/>
      <c r="AS1" s="29" t="n"/>
      <c r="AT1" s="29" t="n"/>
      <c r="AU1" s="29" t="n"/>
      <c r="AV1" s="29" t="n"/>
      <c r="AW1" s="29" t="n"/>
      <c r="AX1" s="29" t="n"/>
      <c r="AY1" s="29" t="n"/>
      <c r="AZ1" s="29" t="n"/>
      <c r="BA1" s="29" t="n"/>
      <c r="BB1" s="29" t="n"/>
      <c r="BC1" s="29" t="n"/>
      <c r="BD1" s="29" t="n"/>
      <c r="BE1" s="29" t="n"/>
      <c r="BF1" s="29" t="n"/>
      <c r="BG1" s="29" t="n"/>
      <c r="BH1" s="29" t="n"/>
      <c r="BI1" s="29" t="n"/>
      <c r="BJ1" s="29" t="n"/>
      <c r="BK1" s="29" t="n"/>
      <c r="BL1" s="29" t="n"/>
      <c r="BM1" s="29" t="n"/>
      <c r="BN1" s="29" t="n"/>
      <c r="BO1" s="29" t="n"/>
      <c r="BP1" s="29" t="n"/>
      <c r="BQ1" s="29" t="n"/>
      <c r="BR1" s="29" t="n"/>
      <c r="BS1" s="29" t="n"/>
      <c r="BT1" s="29" t="n"/>
      <c r="BU1" s="29" t="n"/>
      <c r="BV1" s="29" t="n"/>
      <c r="BW1" s="29" t="n"/>
      <c r="BX1" s="29" t="n"/>
      <c r="BY1" s="29" t="n"/>
      <c r="BZ1" s="29" t="n"/>
      <c r="CA1" s="29" t="n"/>
      <c r="CB1" s="29" t="n"/>
      <c r="CC1" s="29" t="n"/>
      <c r="CD1" s="29" t="n"/>
      <c r="CE1" s="29" t="n"/>
      <c r="CF1" s="29" t="n"/>
      <c r="CG1" s="29" t="n"/>
      <c r="CH1" s="29" t="n"/>
      <c r="CI1" s="29" t="n"/>
      <c r="CJ1" s="29" t="n"/>
      <c r="CK1" s="29" t="n"/>
      <c r="CL1" s="29" t="n"/>
      <c r="CM1" s="29" t="n"/>
      <c r="CN1" s="29" t="n"/>
      <c r="CO1" s="29" t="n"/>
      <c r="CP1" s="29" t="n"/>
      <c r="CQ1" s="29" t="n"/>
      <c r="CR1" s="29" t="n"/>
      <c r="CS1" s="29" t="n"/>
      <c r="CT1" s="29" t="n"/>
      <c r="CU1" s="29" t="n"/>
      <c r="CV1" s="29" t="n"/>
      <c r="CW1" s="29" t="n"/>
      <c r="CX1" s="29" t="n"/>
      <c r="CY1" s="29" t="n"/>
      <c r="CZ1" s="29" t="n"/>
      <c r="DA1" s="29" t="n"/>
      <c r="DB1" s="29" t="n"/>
      <c r="DC1" s="29" t="n"/>
      <c r="DD1" s="29" t="n"/>
      <c r="DE1" s="29" t="n"/>
      <c r="DF1" s="29" t="n"/>
      <c r="DG1" s="29" t="n"/>
      <c r="DH1" s="29" t="n"/>
      <c r="DI1" s="29" t="n"/>
      <c r="DJ1" s="29" t="n"/>
      <c r="DK1" s="29" t="n"/>
      <c r="DL1" s="29" t="n"/>
      <c r="DM1" s="29" t="n"/>
      <c r="DN1" s="29" t="n"/>
      <c r="DO1" s="29" t="n"/>
      <c r="DP1" s="29" t="n"/>
      <c r="DQ1" s="29" t="n"/>
      <c r="DR1" s="29" t="n"/>
      <c r="DS1" s="29" t="n"/>
      <c r="DT1" s="29" t="n"/>
      <c r="DU1" s="29" t="n"/>
      <c r="DV1" s="29" t="n"/>
      <c r="DW1" s="29" t="n"/>
      <c r="DX1" s="29" t="n"/>
      <c r="DY1" s="29" t="n"/>
      <c r="DZ1" s="29" t="n"/>
      <c r="EA1" s="29" t="n"/>
      <c r="EB1" s="29" t="n"/>
      <c r="EC1" s="29" t="n"/>
      <c r="ED1" s="29" t="n"/>
      <c r="EE1" s="29" t="n"/>
      <c r="EF1" s="29" t="n"/>
      <c r="EG1" s="29" t="n"/>
      <c r="EH1" s="29" t="n"/>
      <c r="EI1" s="29" t="n"/>
      <c r="EJ1" s="29" t="n"/>
      <c r="EK1" s="29" t="n"/>
      <c r="EL1" s="29" t="n"/>
      <c r="EM1" s="29" t="n"/>
      <c r="EN1" s="29" t="n"/>
      <c r="EO1" s="29" t="n"/>
      <c r="EP1" s="29" t="n"/>
      <c r="EQ1" s="29" t="n"/>
      <c r="ER1" s="29" t="n"/>
      <c r="ES1" s="29" t="n"/>
      <c r="ET1" s="29" t="n"/>
      <c r="EU1" s="29" t="n"/>
      <c r="EV1" s="29" t="n"/>
      <c r="EW1" s="29" t="n"/>
      <c r="EX1" s="29" t="n"/>
      <c r="EY1" s="29" t="n"/>
      <c r="EZ1" s="29" t="n"/>
      <c r="FA1" s="29" t="n"/>
      <c r="FB1" s="29" t="n"/>
      <c r="FC1" s="29" t="n"/>
      <c r="FD1" s="29" t="n"/>
      <c r="FE1" s="29" t="n"/>
      <c r="FF1" s="29" t="n"/>
      <c r="FG1" s="29" t="n"/>
      <c r="FH1" s="29" t="n"/>
      <c r="FI1" s="29" t="n"/>
      <c r="FJ1" s="29" t="n"/>
      <c r="FK1" s="29" t="n"/>
      <c r="FL1" s="29" t="n"/>
      <c r="FM1" s="29" t="n"/>
      <c r="FN1" s="29" t="n"/>
      <c r="FO1" s="29" t="n"/>
      <c r="FP1" s="29" t="n"/>
      <c r="FQ1" s="29" t="n"/>
      <c r="FR1" s="29" t="n"/>
      <c r="FS1" s="29" t="n"/>
      <c r="FT1" s="29" t="n"/>
      <c r="FU1" s="29" t="n"/>
      <c r="FV1" s="29" t="n"/>
      <c r="FW1" s="29" t="n"/>
      <c r="FX1" s="29" t="n"/>
      <c r="FY1" s="29" t="n"/>
      <c r="FZ1" s="29" t="n"/>
      <c r="GA1" s="29" t="n"/>
      <c r="GB1" s="29" t="n"/>
      <c r="GC1" s="29" t="n"/>
      <c r="GD1" s="29" t="n"/>
      <c r="GE1" s="29" t="n"/>
      <c r="GF1" s="29" t="n"/>
      <c r="GG1" s="29" t="n"/>
      <c r="GH1" s="29" t="n"/>
      <c r="GI1" s="29" t="n"/>
      <c r="GJ1" s="29" t="n"/>
      <c r="GK1" s="29" t="n"/>
      <c r="GL1" s="29" t="n"/>
      <c r="GM1" s="29" t="n"/>
      <c r="GN1" s="29" t="n"/>
      <c r="GO1" s="29" t="n"/>
      <c r="GP1" s="29" t="n"/>
      <c r="GQ1" s="29" t="n"/>
      <c r="GR1" s="29" t="n"/>
      <c r="GS1" s="29" t="n"/>
      <c r="GT1" s="29" t="n"/>
      <c r="GU1" s="29" t="n"/>
      <c r="GV1" s="29" t="n"/>
      <c r="GW1" s="29" t="n"/>
      <c r="GX1" s="29" t="n"/>
      <c r="GY1" s="29" t="n"/>
      <c r="GZ1" s="29" t="n"/>
      <c r="HA1" s="29" t="n"/>
      <c r="HB1" s="29" t="n"/>
      <c r="HC1" s="29" t="n"/>
      <c r="HD1" s="29" t="n"/>
      <c r="HE1" s="29" t="n"/>
      <c r="HF1" s="29" t="n"/>
      <c r="HG1" s="29" t="n"/>
      <c r="HH1" s="29" t="n"/>
      <c r="HI1" s="29" t="n"/>
      <c r="HJ1" s="29" t="n"/>
      <c r="HK1" s="29" t="n"/>
      <c r="HL1" s="29" t="n"/>
      <c r="HM1" s="29" t="n"/>
      <c r="HN1" s="29" t="n"/>
      <c r="HO1" s="29" t="n"/>
      <c r="HP1" s="29" t="n"/>
      <c r="HQ1" s="29" t="n"/>
      <c r="HR1" s="29" t="n"/>
      <c r="HS1" s="29" t="n"/>
      <c r="HT1" s="29" t="n"/>
      <c r="HU1" s="29" t="n"/>
      <c r="HV1" s="29" t="n"/>
      <c r="HW1" s="29" t="n"/>
      <c r="HX1" s="29" t="n"/>
      <c r="HY1" s="29" t="n"/>
      <c r="HZ1" s="29" t="n"/>
      <c r="IA1" s="29" t="n"/>
      <c r="IB1" s="29" t="n"/>
      <c r="IC1" s="29" t="n"/>
      <c r="ID1" s="29" t="n"/>
      <c r="IE1" s="29" t="n"/>
      <c r="IF1" s="29" t="n"/>
      <c r="IG1" s="29" t="n"/>
      <c r="IH1" s="29" t="n"/>
      <c r="II1" s="29" t="n"/>
      <c r="IJ1" s="29" t="n"/>
      <c r="IK1" s="29" t="n"/>
      <c r="IL1" s="29" t="n"/>
      <c r="IM1" s="29" t="n"/>
      <c r="IN1" s="29" t="n"/>
      <c r="IO1" s="29" t="n"/>
      <c r="IP1" s="29" t="n"/>
      <c r="IQ1" s="29" t="n"/>
      <c r="IR1" s="29" t="n"/>
      <c r="IS1" s="29" t="n"/>
      <c r="IT1" s="29" t="n"/>
      <c r="IU1" s="29" t="n"/>
      <c r="IV1" s="29" t="n"/>
      <c r="IW1" s="29" t="n"/>
      <c r="IX1" s="29" t="n"/>
      <c r="IY1" s="29" t="n"/>
      <c r="IZ1" s="29" t="n"/>
      <c r="JA1" s="29" t="n"/>
      <c r="JB1" s="29" t="n"/>
      <c r="JC1" s="29" t="n"/>
      <c r="JD1" s="29" t="n"/>
      <c r="JE1" s="29" t="n"/>
      <c r="JF1" s="29" t="n"/>
      <c r="JG1" s="29" t="n"/>
      <c r="JH1" s="29" t="n"/>
      <c r="JI1" s="29" t="n"/>
      <c r="JJ1" s="29" t="n"/>
      <c r="JK1" s="29" t="n"/>
      <c r="JL1" s="29" t="n"/>
      <c r="JM1" s="29" t="n"/>
      <c r="JN1" s="29" t="n"/>
      <c r="JO1" s="29" t="n"/>
      <c r="JP1" s="29" t="n"/>
      <c r="JQ1" s="29" t="n"/>
      <c r="JR1" s="29" t="n"/>
      <c r="JS1" s="29" t="n"/>
      <c r="JT1" s="29" t="n"/>
      <c r="JU1" s="29" t="n"/>
      <c r="JV1" s="29" t="n"/>
      <c r="JW1" s="29" t="n"/>
      <c r="JX1" s="29" t="n"/>
      <c r="JY1" s="29" t="n"/>
      <c r="JZ1" s="29" t="n"/>
      <c r="KA1" s="29" t="n"/>
      <c r="KB1" s="29" t="n"/>
      <c r="KC1" s="29" t="n"/>
      <c r="KD1" s="29" t="n"/>
      <c r="KE1" s="29" t="n"/>
      <c r="KF1" s="29" t="n"/>
      <c r="KG1" s="29" t="n"/>
      <c r="KH1" s="29" t="n"/>
      <c r="KI1" s="29" t="n"/>
      <c r="KJ1" s="29" t="n"/>
      <c r="KK1" s="29" t="n"/>
      <c r="KL1" s="29" t="n"/>
      <c r="KM1" s="29" t="n"/>
      <c r="KN1" s="29" t="n"/>
      <c r="KO1" s="29" t="n"/>
      <c r="KP1" s="29" t="n"/>
      <c r="KQ1" s="29" t="n"/>
      <c r="KR1" s="29" t="n"/>
      <c r="KS1" s="29" t="n"/>
      <c r="KT1" s="29" t="n"/>
      <c r="KU1" s="29" t="n"/>
      <c r="KV1" s="29" t="n"/>
      <c r="KW1" s="29" t="n"/>
      <c r="KX1" s="29" t="n"/>
      <c r="KY1" s="29" t="n"/>
      <c r="KZ1" s="29" t="n"/>
      <c r="LA1" s="29" t="n"/>
      <c r="LB1" s="29" t="n"/>
      <c r="LC1" s="29" t="n"/>
      <c r="LD1" s="29" t="n"/>
      <c r="LE1" s="29" t="n"/>
      <c r="LF1" s="29" t="n"/>
      <c r="LG1" s="29" t="n"/>
      <c r="LH1" s="29" t="n"/>
      <c r="LI1" s="29" t="n"/>
      <c r="LJ1" s="29" t="n"/>
      <c r="LK1" s="29" t="n"/>
      <c r="LL1" s="29" t="n"/>
      <c r="LM1" s="29" t="n"/>
      <c r="LN1" s="29" t="n"/>
      <c r="LO1" s="29" t="n"/>
      <c r="LP1" s="29" t="n"/>
      <c r="LQ1" s="29" t="n"/>
      <c r="LR1" s="29" t="n"/>
      <c r="LS1" s="29" t="n"/>
      <c r="LT1" s="29" t="n"/>
      <c r="LU1" s="29" t="n"/>
      <c r="LV1" s="29" t="n"/>
      <c r="LW1" s="29" t="n"/>
      <c r="LX1" s="29" t="n"/>
      <c r="LY1" s="29" t="n"/>
      <c r="LZ1" s="29" t="n"/>
      <c r="MA1" s="29" t="n"/>
      <c r="MB1" s="29" t="n"/>
      <c r="MC1" s="29" t="n"/>
      <c r="MD1" s="29" t="n"/>
      <c r="ME1" s="29" t="n"/>
      <c r="MF1" s="29" t="n"/>
      <c r="MG1" s="29" t="n"/>
      <c r="MH1" s="29" t="n"/>
      <c r="MI1" s="29" t="n"/>
      <c r="MJ1" s="29" t="n"/>
      <c r="MK1" s="29" t="n"/>
      <c r="ML1" s="29" t="n"/>
      <c r="MM1" s="29" t="n"/>
      <c r="MN1" s="29" t="n"/>
      <c r="MO1" s="29" t="n"/>
      <c r="MP1" s="29" t="n"/>
      <c r="MQ1" s="29" t="n"/>
      <c r="MR1" s="29" t="n"/>
      <c r="MS1" s="29" t="n"/>
      <c r="MT1" s="29" t="n"/>
      <c r="MU1" s="29" t="n"/>
      <c r="MV1" s="29" t="n"/>
      <c r="MW1" s="29" t="n"/>
      <c r="MX1" s="29" t="n"/>
      <c r="MY1" s="29" t="n"/>
      <c r="MZ1" s="29" t="n"/>
      <c r="NA1" s="29" t="n"/>
      <c r="NB1" s="29" t="n"/>
      <c r="NC1" s="29" t="n"/>
      <c r="ND1" s="29" t="n"/>
      <c r="NE1" s="29" t="n"/>
      <c r="NF1" s="29" t="n"/>
      <c r="NG1" s="29" t="n"/>
      <c r="NH1" s="29" t="n"/>
      <c r="NI1" s="29" t="n"/>
      <c r="NJ1" s="29" t="n"/>
      <c r="NK1" s="29" t="n"/>
      <c r="NL1" s="29" t="n"/>
      <c r="NM1" s="29" t="n"/>
      <c r="NN1" s="29" t="n"/>
      <c r="NO1" s="29" t="n"/>
      <c r="NP1" s="29" t="n"/>
      <c r="NQ1" s="29" t="n"/>
      <c r="NR1" s="29" t="n"/>
      <c r="NS1" s="29" t="n"/>
      <c r="NT1" s="29" t="n"/>
      <c r="NU1" s="29" t="n"/>
      <c r="NV1" s="29" t="n"/>
      <c r="NW1" s="29" t="n"/>
      <c r="NX1" s="29" t="n"/>
      <c r="NY1" s="29" t="n"/>
      <c r="NZ1" s="29" t="n"/>
      <c r="OA1" s="29" t="n"/>
      <c r="OB1" s="29" t="n"/>
      <c r="OC1" s="29" t="n"/>
      <c r="OD1" s="29" t="n"/>
      <c r="OE1" s="29" t="n"/>
      <c r="OF1" s="29" t="n"/>
      <c r="OG1" s="29" t="n"/>
      <c r="OH1" s="29" t="n"/>
      <c r="OI1" s="29" t="n"/>
      <c r="OJ1" s="29" t="n"/>
      <c r="OK1" s="29" t="n"/>
      <c r="OL1" s="29" t="n"/>
      <c r="OM1" s="29" t="n"/>
      <c r="ON1" s="29" t="n"/>
      <c r="OO1" s="29" t="n"/>
      <c r="OP1" s="29" t="n"/>
      <c r="OQ1" s="29" t="n"/>
      <c r="OR1" s="29" t="n"/>
      <c r="OS1" s="29" t="n"/>
      <c r="OT1" s="29" t="n"/>
      <c r="OU1" s="29" t="n"/>
      <c r="OV1" s="29" t="n"/>
      <c r="OW1" s="29" t="n"/>
      <c r="OX1" s="29" t="n"/>
      <c r="OY1" s="29" t="n"/>
      <c r="OZ1" s="29" t="n"/>
      <c r="PA1" s="29" t="n"/>
      <c r="PB1" s="29" t="n"/>
      <c r="PC1" s="29" t="n"/>
      <c r="PD1" s="29" t="n"/>
      <c r="PE1" s="29" t="n"/>
      <c r="PF1" s="29" t="n"/>
      <c r="PG1" s="29" t="n"/>
      <c r="PH1" s="29" t="n"/>
      <c r="PI1" s="29" t="n"/>
      <c r="PJ1" s="29" t="n"/>
      <c r="PK1" s="29" t="n"/>
      <c r="PL1" s="29" t="n"/>
      <c r="PM1" s="29" t="n"/>
      <c r="PN1" s="29" t="n"/>
      <c r="PO1" s="29" t="n"/>
      <c r="PP1" s="29" t="n"/>
      <c r="PQ1" s="29" t="n"/>
      <c r="PR1" s="29" t="n"/>
      <c r="PS1" s="29" t="n"/>
      <c r="PT1" s="29" t="n"/>
      <c r="PU1" s="29" t="n"/>
      <c r="PV1" s="29" t="n"/>
      <c r="PW1" s="29" t="n"/>
      <c r="PX1" s="29" t="n"/>
      <c r="PY1" s="29" t="n"/>
      <c r="PZ1" s="29" t="n"/>
      <c r="QA1" s="29" t="n"/>
      <c r="QB1" s="29" t="n"/>
      <c r="QC1" s="29" t="n"/>
      <c r="QD1" s="29" t="n"/>
      <c r="QE1" s="29" t="n"/>
      <c r="QF1" s="29" t="n"/>
      <c r="QG1" s="29" t="n"/>
      <c r="QH1" s="29" t="n"/>
      <c r="QI1" s="29" t="n"/>
      <c r="QJ1" s="29" t="n"/>
      <c r="QK1" s="29" t="n"/>
      <c r="QL1" s="29" t="n"/>
      <c r="QM1" s="29" t="n"/>
      <c r="QN1" s="29" t="n"/>
      <c r="QO1" s="29" t="n"/>
      <c r="QP1" s="29" t="n"/>
      <c r="QQ1" s="29" t="n"/>
      <c r="QR1" s="29" t="n"/>
      <c r="QS1" s="29" t="n"/>
      <c r="QT1" s="29" t="n"/>
      <c r="QU1" s="29" t="n"/>
      <c r="QV1" s="29" t="n"/>
      <c r="QW1" s="29" t="n"/>
      <c r="QX1" s="29" t="n"/>
      <c r="QY1" s="29" t="n"/>
      <c r="QZ1" s="29" t="n"/>
      <c r="RA1" s="29" t="n"/>
      <c r="RB1" s="29" t="n"/>
      <c r="RC1" s="29" t="n"/>
      <c r="RD1" s="29" t="n"/>
      <c r="RE1" s="29" t="n"/>
      <c r="RF1" s="29" t="n"/>
      <c r="RG1" s="29" t="n"/>
      <c r="RH1" s="29" t="n"/>
      <c r="RI1" s="29" t="n"/>
      <c r="RJ1" s="29" t="n"/>
      <c r="RK1" s="29" t="n"/>
      <c r="RL1" s="29" t="n"/>
      <c r="RM1" s="29" t="n"/>
      <c r="RN1" s="29" t="n"/>
      <c r="RO1" s="29" t="n"/>
      <c r="RP1" s="29" t="n"/>
      <c r="RQ1" s="29" t="n"/>
      <c r="RR1" s="29" t="n"/>
      <c r="RS1" s="29" t="n"/>
      <c r="RT1" s="29" t="n"/>
      <c r="RU1" s="29" t="n"/>
      <c r="RV1" s="29" t="n"/>
      <c r="RW1" s="29" t="n"/>
      <c r="RX1" s="29" t="n"/>
      <c r="RY1" s="29" t="n"/>
      <c r="RZ1" s="29" t="n"/>
      <c r="SA1" s="29" t="n"/>
      <c r="SB1" s="29" t="n"/>
      <c r="SC1" s="29" t="n"/>
      <c r="SD1" s="29" t="n"/>
      <c r="SE1" s="29" t="n"/>
      <c r="SF1" s="29" t="n"/>
      <c r="SG1" s="29" t="n"/>
      <c r="SH1" s="29" t="n"/>
      <c r="SI1" s="29" t="n"/>
      <c r="SJ1" s="29" t="n"/>
      <c r="SK1" s="29" t="n"/>
      <c r="SL1" s="29" t="n"/>
      <c r="SM1" s="29" t="n"/>
      <c r="SN1" s="29" t="n"/>
      <c r="SO1" s="29" t="n"/>
      <c r="SP1" s="29" t="n"/>
      <c r="SQ1" s="29" t="n"/>
      <c r="SR1" s="29" t="n"/>
      <c r="SS1" s="29" t="n"/>
      <c r="ST1" s="29" t="n"/>
      <c r="SU1" s="29" t="n"/>
      <c r="SV1" s="29" t="n"/>
      <c r="SW1" s="29" t="n"/>
      <c r="SX1" s="29" t="n"/>
      <c r="SY1" s="29" t="n"/>
      <c r="SZ1" s="29" t="n"/>
      <c r="TA1" s="29" t="n"/>
      <c r="TB1" s="29" t="n"/>
      <c r="TC1" s="29" t="n"/>
      <c r="TD1" s="29" t="n"/>
      <c r="TE1" s="29" t="n"/>
      <c r="TF1" s="29" t="n"/>
      <c r="TG1" s="29" t="n"/>
      <c r="TH1" s="29" t="n"/>
      <c r="TI1" s="29" t="n"/>
      <c r="TJ1" s="29" t="n"/>
      <c r="TK1" s="29" t="n"/>
      <c r="TL1" s="29" t="n"/>
      <c r="TM1" s="29" t="n"/>
      <c r="TN1" s="29" t="n"/>
      <c r="TO1" s="29" t="n"/>
      <c r="TP1" s="29" t="n"/>
      <c r="TQ1" s="29" t="n"/>
      <c r="TR1" s="29" t="n"/>
      <c r="TS1" s="29" t="n"/>
      <c r="TT1" s="29" t="n"/>
      <c r="TU1" s="29" t="n"/>
      <c r="TV1" s="29" t="n"/>
      <c r="TW1" s="29" t="n"/>
      <c r="TX1" s="29" t="n"/>
      <c r="TY1" s="29" t="n"/>
      <c r="TZ1" s="29" t="n"/>
      <c r="UA1" s="29" t="n"/>
      <c r="UB1" s="29" t="n"/>
      <c r="UC1" s="29" t="n"/>
      <c r="UD1" s="29" t="n"/>
      <c r="UE1" s="29" t="n"/>
      <c r="UF1" s="29" t="n"/>
      <c r="UG1" s="29" t="n"/>
      <c r="UH1" s="29" t="n"/>
      <c r="UI1" s="29" t="n"/>
      <c r="UJ1" s="29" t="n"/>
      <c r="UK1" s="29" t="n"/>
      <c r="UL1" s="29" t="n"/>
      <c r="UM1" s="29" t="n"/>
      <c r="UN1" s="29" t="n"/>
      <c r="UO1" s="29" t="n"/>
      <c r="UP1" s="29" t="n"/>
      <c r="UQ1" s="29" t="n"/>
      <c r="UR1" s="29" t="n"/>
      <c r="US1" s="29" t="n"/>
      <c r="UT1" s="29" t="n"/>
      <c r="UU1" s="29" t="n"/>
      <c r="UV1" s="29" t="n"/>
      <c r="UW1" s="29" t="n"/>
      <c r="UX1" s="29" t="n"/>
      <c r="UY1" s="29" t="n"/>
      <c r="UZ1" s="29" t="n"/>
      <c r="VA1" s="29" t="n"/>
      <c r="VB1" s="29" t="n"/>
      <c r="VC1" s="29" t="n"/>
      <c r="VD1" s="29" t="n"/>
      <c r="VE1" s="29" t="n"/>
      <c r="VF1" s="29" t="n"/>
      <c r="VG1" s="29" t="n"/>
      <c r="VH1" s="29" t="n"/>
      <c r="VI1" s="29" t="n"/>
      <c r="VJ1" s="29" t="n"/>
      <c r="VK1" s="29" t="n"/>
      <c r="VL1" s="29" t="n"/>
      <c r="VM1" s="29" t="n"/>
      <c r="VN1" s="29" t="n"/>
      <c r="VO1" s="29" t="n"/>
      <c r="VP1" s="29" t="n"/>
      <c r="VQ1" s="29" t="n"/>
      <c r="VR1" s="29" t="n"/>
      <c r="VS1" s="29" t="n"/>
      <c r="VT1" s="29" t="n"/>
      <c r="VU1" s="29" t="n"/>
      <c r="VV1" s="29" t="n"/>
      <c r="VW1" s="29" t="n"/>
      <c r="VX1" s="29" t="n"/>
      <c r="VY1" s="29" t="n"/>
      <c r="VZ1" s="29" t="n"/>
      <c r="WA1" s="29" t="n"/>
      <c r="WB1" s="29" t="n"/>
      <c r="WC1" s="29" t="n"/>
      <c r="WD1" s="29" t="n"/>
      <c r="WE1" s="29" t="n"/>
      <c r="WF1" s="29" t="n"/>
      <c r="WG1" s="29" t="n"/>
      <c r="WH1" s="29" t="n"/>
      <c r="WI1" s="29" t="n"/>
      <c r="WJ1" s="29" t="n"/>
      <c r="WK1" s="29" t="n"/>
      <c r="WL1" s="29" t="n"/>
      <c r="WM1" s="29" t="n"/>
      <c r="WN1" s="29" t="n"/>
      <c r="WO1" s="29" t="n"/>
      <c r="WP1" s="29" t="n"/>
      <c r="WQ1" s="29" t="n"/>
      <c r="WR1" s="29" t="n"/>
      <c r="WS1" s="29" t="n"/>
      <c r="WT1" s="29" t="n"/>
      <c r="WU1" s="29" t="n"/>
      <c r="WV1" s="29" t="n"/>
      <c r="WW1" s="29" t="n"/>
      <c r="WX1" s="29" t="n"/>
      <c r="WY1" s="29" t="n"/>
      <c r="WZ1" s="29" t="n"/>
      <c r="XA1" s="29" t="n"/>
      <c r="XB1" s="29" t="n"/>
      <c r="XC1" s="29" t="n"/>
      <c r="XD1" s="29" t="n"/>
      <c r="XE1" s="29" t="n"/>
      <c r="XF1" s="29" t="n"/>
      <c r="XG1" s="29" t="n"/>
      <c r="XH1" s="29" t="n"/>
      <c r="XI1" s="29" t="n"/>
      <c r="XJ1" s="29" t="n"/>
      <c r="XK1" s="29" t="n"/>
      <c r="XL1" s="29" t="n"/>
      <c r="XM1" s="29" t="n"/>
      <c r="XN1" s="29" t="n"/>
      <c r="XO1" s="29" t="n"/>
      <c r="XP1" s="29" t="n"/>
      <c r="XQ1" s="29" t="n"/>
      <c r="XR1" s="29" t="n"/>
      <c r="XS1" s="29" t="n"/>
      <c r="XT1" s="29" t="n"/>
      <c r="XU1" s="29" t="n"/>
      <c r="XV1" s="29" t="n"/>
      <c r="XW1" s="29" t="n"/>
      <c r="XX1" s="29" t="n"/>
      <c r="XY1" s="29" t="n"/>
      <c r="XZ1" s="29" t="n"/>
      <c r="YA1" s="29" t="n"/>
      <c r="YB1" s="29" t="n"/>
      <c r="YC1" s="29" t="n"/>
      <c r="YD1" s="29" t="n"/>
      <c r="YE1" s="29" t="n"/>
      <c r="YF1" s="29" t="n"/>
      <c r="YG1" s="29" t="n"/>
      <c r="YH1" s="29" t="n"/>
      <c r="YI1" s="29" t="n"/>
      <c r="YJ1" s="29" t="n"/>
      <c r="YK1" s="29" t="n"/>
      <c r="YL1" s="29" t="n"/>
      <c r="YM1" s="29" t="n"/>
      <c r="YN1" s="29" t="n"/>
      <c r="YO1" s="29" t="n"/>
      <c r="YP1" s="29" t="n"/>
      <c r="YQ1" s="29" t="n"/>
      <c r="YR1" s="29" t="n"/>
      <c r="YS1" s="29" t="n"/>
      <c r="YT1" s="29" t="n"/>
      <c r="YU1" s="29" t="n"/>
      <c r="YV1" s="29" t="n"/>
      <c r="YW1" s="29" t="n"/>
      <c r="YX1" s="29" t="n"/>
      <c r="YY1" s="29" t="n"/>
      <c r="YZ1" s="29" t="n"/>
      <c r="ZA1" s="29" t="n"/>
      <c r="ZB1" s="29" t="n"/>
      <c r="ZC1" s="29" t="n"/>
      <c r="ZD1" s="29" t="n"/>
      <c r="ZE1" s="29" t="n"/>
      <c r="ZF1" s="29" t="n"/>
      <c r="ZG1" s="29" t="n"/>
      <c r="ZH1" s="29" t="n"/>
      <c r="ZI1" s="29" t="n"/>
      <c r="ZJ1" s="29" t="n"/>
      <c r="ZK1" s="29" t="n"/>
      <c r="ZL1" s="29" t="n"/>
      <c r="ZM1" s="29" t="n"/>
      <c r="ZN1" s="29" t="n"/>
      <c r="ZO1" s="29" t="n"/>
      <c r="ZP1" s="29" t="n"/>
      <c r="ZQ1" s="29" t="n"/>
      <c r="ZR1" s="29" t="n"/>
      <c r="ZS1" s="29" t="n"/>
      <c r="ZT1" s="29" t="n"/>
      <c r="ZU1" s="29" t="n"/>
      <c r="ZV1" s="29" t="n"/>
      <c r="ZW1" s="29" t="n"/>
      <c r="ZX1" s="29" t="n"/>
      <c r="ZY1" s="29" t="n"/>
      <c r="ZZ1" s="29" t="n"/>
      <c r="AAA1" s="29" t="n"/>
      <c r="AAB1" s="29" t="n"/>
      <c r="AAC1" s="29" t="n"/>
      <c r="AAD1" s="29" t="n"/>
      <c r="AAE1" s="29" t="n"/>
      <c r="AAF1" s="29" t="n"/>
      <c r="AAG1" s="29" t="n"/>
      <c r="AAH1" s="29" t="n"/>
      <c r="AAI1" s="29" t="n"/>
      <c r="AAJ1" s="29" t="n"/>
      <c r="AAK1" s="29" t="n"/>
      <c r="AAL1" s="29" t="n"/>
      <c r="AAM1" s="29" t="n"/>
      <c r="AAN1" s="29" t="n"/>
      <c r="AAO1" s="29" t="n"/>
      <c r="AAP1" s="29" t="n"/>
      <c r="AAQ1" s="29" t="n"/>
      <c r="AAR1" s="29" t="n"/>
      <c r="AAS1" s="29" t="n"/>
      <c r="AAT1" s="29" t="n"/>
      <c r="AAU1" s="29" t="n"/>
      <c r="AAV1" s="29" t="n"/>
      <c r="AAW1" s="29" t="n"/>
      <c r="AAX1" s="29" t="n"/>
      <c r="AAY1" s="29" t="n"/>
      <c r="AAZ1" s="29" t="n"/>
      <c r="ABA1" s="29" t="n"/>
      <c r="ABB1" s="29" t="n"/>
      <c r="ABC1" s="29" t="n"/>
      <c r="ABD1" s="29" t="n"/>
      <c r="ABE1" s="29" t="n"/>
      <c r="ABF1" s="29" t="n"/>
      <c r="ABG1" s="29" t="n"/>
      <c r="ABH1" s="29" t="n"/>
      <c r="ABI1" s="29" t="n"/>
      <c r="ABJ1" s="29" t="n"/>
      <c r="ABK1" s="29" t="n"/>
      <c r="ABL1" s="29" t="n"/>
      <c r="ABM1" s="29" t="n"/>
      <c r="ABN1" s="29" t="n"/>
      <c r="ABO1" s="29" t="n"/>
      <c r="ABP1" s="29" t="n"/>
      <c r="ABQ1" s="29" t="n"/>
      <c r="ABR1" s="29" t="n"/>
      <c r="ABS1" s="29" t="n"/>
      <c r="ABT1" s="29" t="n"/>
      <c r="ABU1" s="29" t="n"/>
      <c r="ABV1" s="29" t="n"/>
      <c r="ABW1" s="29" t="n"/>
      <c r="ABX1" s="29" t="n"/>
      <c r="ABY1" s="29" t="n"/>
      <c r="ABZ1" s="29" t="n"/>
      <c r="ACA1" s="29" t="n"/>
      <c r="ACB1" s="29" t="n"/>
      <c r="ACC1" s="29" t="n"/>
      <c r="ACD1" s="29" t="n"/>
      <c r="ACE1" s="29" t="n"/>
      <c r="ACF1" s="29" t="n"/>
      <c r="ACG1" s="29" t="n"/>
      <c r="ACH1" s="29" t="n"/>
      <c r="ACI1" s="29" t="n"/>
      <c r="ACJ1" s="29" t="n"/>
      <c r="ACK1" s="29" t="n"/>
      <c r="ACL1" s="29" t="n"/>
      <c r="ACM1" s="29" t="n"/>
      <c r="ACN1" s="29" t="n"/>
      <c r="ACO1" s="29" t="n"/>
      <c r="ACP1" s="29" t="n"/>
      <c r="ACQ1" s="29" t="n"/>
      <c r="ACR1" s="29" t="n"/>
      <c r="ACS1" s="29" t="n"/>
      <c r="ACT1" s="29" t="n"/>
      <c r="ACU1" s="29" t="n"/>
      <c r="ACV1" s="29" t="n"/>
      <c r="ACW1" s="29" t="n"/>
      <c r="ACX1" s="29" t="n"/>
      <c r="ACY1" s="29" t="n"/>
      <c r="ACZ1" s="29" t="n"/>
      <c r="ADA1" s="29" t="n"/>
      <c r="ADB1" s="29" t="n"/>
      <c r="ADC1" s="29" t="n"/>
      <c r="ADD1" s="29" t="n"/>
      <c r="ADE1" s="29" t="n"/>
      <c r="ADF1" s="29" t="n"/>
      <c r="ADG1" s="29" t="n"/>
      <c r="ADH1" s="29" t="n"/>
      <c r="ADI1" s="29" t="n"/>
      <c r="ADJ1" s="29" t="n"/>
      <c r="ADK1" s="29" t="n"/>
      <c r="ADL1" s="29" t="n"/>
      <c r="ADM1" s="29" t="n"/>
      <c r="ADN1" s="29" t="n"/>
      <c r="ADO1" s="29" t="n"/>
      <c r="ADP1" s="29" t="n"/>
      <c r="ADQ1" s="29" t="n"/>
      <c r="ADR1" s="29" t="n"/>
      <c r="ADS1" s="29" t="n"/>
      <c r="ADT1" s="29" t="n"/>
      <c r="ADU1" s="29" t="n"/>
      <c r="ADV1" s="29" t="n"/>
      <c r="ADW1" s="29" t="n"/>
      <c r="ADX1" s="29" t="n"/>
      <c r="ADY1" s="29" t="n"/>
      <c r="ADZ1" s="29" t="n"/>
      <c r="AEA1" s="29" t="n"/>
      <c r="AEB1" s="29" t="n"/>
      <c r="AEC1" s="29" t="n"/>
      <c r="AED1" s="29" t="n"/>
      <c r="AEE1" s="29" t="n"/>
      <c r="AEF1" s="29" t="n"/>
      <c r="AEG1" s="29" t="n"/>
      <c r="AEH1" s="29" t="n"/>
      <c r="AEI1" s="29" t="n"/>
      <c r="AEJ1" s="29" t="n"/>
      <c r="AEK1" s="29" t="n"/>
      <c r="AEL1" s="29" t="n"/>
      <c r="AEM1" s="29" t="n"/>
      <c r="AEN1" s="29" t="n"/>
      <c r="AEO1" s="29" t="n"/>
      <c r="AEP1" s="29" t="n"/>
      <c r="AEQ1" s="29" t="n"/>
      <c r="AER1" s="29" t="n"/>
      <c r="AES1" s="29" t="n"/>
      <c r="AET1" s="29" t="n"/>
      <c r="AEU1" s="29" t="n"/>
      <c r="AEV1" s="29" t="n"/>
      <c r="AEW1" s="29" t="n"/>
      <c r="AEX1" s="29" t="n"/>
      <c r="AEY1" s="29" t="n"/>
      <c r="AEZ1" s="29" t="n"/>
      <c r="AFA1" s="29" t="n"/>
      <c r="AFB1" s="29" t="n"/>
      <c r="AFC1" s="29" t="n"/>
      <c r="AFD1" s="29" t="n"/>
      <c r="AFE1" s="29" t="n"/>
      <c r="AFF1" s="29" t="n"/>
      <c r="AFG1" s="29" t="n"/>
      <c r="AFH1" s="29" t="n"/>
      <c r="AFI1" s="29" t="n"/>
      <c r="AFJ1" s="29" t="n"/>
      <c r="AFK1" s="29" t="n"/>
      <c r="AFL1" s="29" t="n"/>
      <c r="AFM1" s="29" t="n"/>
      <c r="AFN1" s="29" t="n"/>
      <c r="AFO1" s="29" t="n"/>
      <c r="AFP1" s="29" t="n"/>
      <c r="AFQ1" s="29" t="n"/>
      <c r="AFR1" s="29" t="n"/>
      <c r="AFS1" s="29" t="n"/>
      <c r="AFT1" s="29" t="n"/>
      <c r="AFU1" s="29" t="n"/>
      <c r="AFV1" s="29" t="n"/>
      <c r="AFW1" s="29" t="n"/>
      <c r="AFX1" s="29" t="n"/>
      <c r="AFY1" s="29" t="n"/>
      <c r="AFZ1" s="29" t="n"/>
      <c r="AGA1" s="29" t="n"/>
      <c r="AGB1" s="29" t="n"/>
      <c r="AGC1" s="29" t="n"/>
      <c r="AGD1" s="29" t="n"/>
      <c r="AGE1" s="29" t="n"/>
      <c r="AGF1" s="29" t="n"/>
      <c r="AGG1" s="29" t="n"/>
      <c r="AGH1" s="29" t="n"/>
      <c r="AGI1" s="29" t="n"/>
      <c r="AGJ1" s="29" t="n"/>
      <c r="AGK1" s="29" t="n"/>
      <c r="AGL1" s="29" t="n"/>
      <c r="AGM1" s="29" t="n"/>
      <c r="AGN1" s="29" t="n"/>
      <c r="AGO1" s="29" t="n"/>
      <c r="AGP1" s="29" t="n"/>
      <c r="AGQ1" s="29" t="n"/>
      <c r="AGR1" s="29" t="n"/>
      <c r="AGS1" s="29" t="n"/>
      <c r="AGT1" s="29" t="n"/>
      <c r="AGU1" s="29" t="n"/>
      <c r="AGV1" s="29" t="n"/>
      <c r="AGW1" s="29" t="n"/>
      <c r="AGX1" s="29" t="n"/>
      <c r="AGY1" s="29" t="n"/>
      <c r="AGZ1" s="29" t="n"/>
      <c r="AHA1" s="29" t="n"/>
      <c r="AHB1" s="29" t="n"/>
      <c r="AHC1" s="29" t="n"/>
      <c r="AHD1" s="29" t="n"/>
      <c r="AHE1" s="29" t="n"/>
      <c r="AHF1" s="29" t="n"/>
      <c r="AHG1" s="29" t="n"/>
      <c r="AHH1" s="29" t="n"/>
      <c r="AHI1" s="29" t="n"/>
      <c r="AHJ1" s="29" t="n"/>
      <c r="AHK1" s="29" t="n"/>
      <c r="AHL1" s="29" t="n"/>
      <c r="AHM1" s="29" t="n"/>
      <c r="AHN1" s="29" t="n"/>
      <c r="AHO1" s="29" t="n"/>
      <c r="AHP1" s="29" t="n"/>
      <c r="AHQ1" s="29" t="n"/>
      <c r="AHR1" s="29" t="n"/>
      <c r="AHS1" s="29" t="n"/>
      <c r="AHT1" s="29" t="n"/>
      <c r="AHU1" s="29" t="n"/>
      <c r="AHV1" s="29" t="n"/>
      <c r="AHW1" s="29" t="n"/>
      <c r="AHX1" s="29" t="n"/>
      <c r="AHY1" s="29" t="n"/>
      <c r="AHZ1" s="29" t="n"/>
      <c r="AIA1" s="29" t="n"/>
      <c r="AIB1" s="29" t="n"/>
      <c r="AIC1" s="29" t="n"/>
      <c r="AID1" s="29" t="n"/>
      <c r="AIE1" s="29" t="n"/>
      <c r="AIF1" s="29" t="n"/>
      <c r="AIG1" s="29" t="n"/>
      <c r="AIH1" s="29" t="n"/>
      <c r="AII1" s="29" t="n"/>
      <c r="AIJ1" s="29" t="n"/>
      <c r="AIK1" s="29" t="n"/>
      <c r="AIL1" s="29" t="n"/>
      <c r="AIM1" s="29" t="n"/>
      <c r="AIN1" s="29" t="n"/>
      <c r="AIO1" s="29" t="n"/>
      <c r="AIP1" s="29" t="n"/>
      <c r="AIQ1" s="29" t="n"/>
      <c r="AIR1" s="29" t="n"/>
      <c r="AIS1" s="29" t="n"/>
      <c r="AIT1" s="29" t="n"/>
      <c r="AIU1" s="29" t="n"/>
      <c r="AIV1" s="29" t="n"/>
      <c r="AIW1" s="29" t="n"/>
      <c r="AIX1" s="29" t="n"/>
      <c r="AIY1" s="29" t="n"/>
      <c r="AIZ1" s="29" t="n"/>
      <c r="AJA1" s="29" t="n"/>
      <c r="AJB1" s="29" t="n"/>
      <c r="AJC1" s="29" t="n"/>
      <c r="AJD1" s="29" t="n"/>
      <c r="AJE1" s="29" t="n"/>
      <c r="AJF1" s="29" t="n"/>
      <c r="AJG1" s="29" t="n"/>
      <c r="AJH1" s="29" t="n"/>
      <c r="AJI1" s="29" t="n"/>
      <c r="AJJ1" s="29" t="n"/>
      <c r="AJK1" s="29" t="n"/>
      <c r="AJL1" s="29" t="n"/>
      <c r="AJM1" s="29" t="n"/>
      <c r="AJN1" s="29" t="n"/>
      <c r="AJO1" s="29" t="n"/>
      <c r="AJP1" s="29" t="n"/>
      <c r="AJQ1" s="29" t="n"/>
      <c r="AJR1" s="29" t="n"/>
      <c r="AJS1" s="29" t="n"/>
      <c r="AJT1" s="29" t="n"/>
      <c r="AJU1" s="29" t="n"/>
      <c r="AJV1" s="29" t="n"/>
      <c r="AJW1" s="29" t="n"/>
      <c r="AJX1" s="29" t="n"/>
      <c r="AJY1" s="29" t="n"/>
      <c r="AJZ1" s="29" t="n"/>
      <c r="AKA1" s="29" t="n"/>
      <c r="AKB1" s="29" t="n"/>
      <c r="AKC1" s="29" t="n"/>
      <c r="AKD1" s="29" t="n"/>
      <c r="AKE1" s="29" t="n"/>
      <c r="AKF1" s="29" t="n"/>
      <c r="AKG1" s="29" t="n"/>
      <c r="AKH1" s="29" t="n"/>
      <c r="AKI1" s="29" t="n"/>
      <c r="AKJ1" s="29" t="n"/>
      <c r="AKK1" s="29" t="n"/>
      <c r="AKL1" s="29" t="n"/>
      <c r="AKM1" s="29" t="n"/>
      <c r="AKN1" s="29" t="n"/>
      <c r="AKO1" s="29" t="n"/>
      <c r="AKP1" s="29" t="n"/>
      <c r="AKQ1" s="29" t="n"/>
      <c r="AKR1" s="29" t="n"/>
      <c r="AKS1" s="29" t="n"/>
      <c r="AKT1" s="29" t="n"/>
      <c r="AKU1" s="29" t="n"/>
      <c r="AKV1" s="29" t="n"/>
      <c r="AKW1" s="29" t="n"/>
      <c r="AKX1" s="29" t="n"/>
      <c r="AKY1" s="29" t="n"/>
      <c r="AKZ1" s="29" t="n"/>
      <c r="ALA1" s="29" t="n"/>
      <c r="ALB1" s="29" t="n"/>
      <c r="ALC1" s="29" t="n"/>
      <c r="ALD1" s="29" t="n"/>
      <c r="ALE1" s="29" t="n"/>
      <c r="ALF1" s="29" t="n"/>
      <c r="ALG1" s="29" t="n"/>
      <c r="ALH1" s="29" t="n"/>
      <c r="ALI1" s="29" t="n"/>
      <c r="ALJ1" s="29" t="n"/>
      <c r="ALK1" s="29" t="n"/>
      <c r="ALL1" s="29" t="n"/>
      <c r="ALM1" s="29" t="n"/>
      <c r="ALN1" s="29" t="n"/>
      <c r="ALO1" s="29" t="n"/>
      <c r="ALP1" s="29" t="n"/>
      <c r="ALQ1" s="29" t="n"/>
      <c r="ALR1" s="29" t="n"/>
      <c r="ALS1" s="29" t="n"/>
      <c r="ALT1" s="29" t="n"/>
      <c r="ALU1" s="29" t="n"/>
      <c r="ALV1" s="29" t="n"/>
      <c r="ALW1" s="29" t="n"/>
      <c r="ALX1" s="29" t="n"/>
      <c r="ALY1" s="29" t="n"/>
      <c r="ALZ1" s="29" t="n"/>
      <c r="AMA1" s="29" t="n"/>
      <c r="AMB1" s="29" t="n"/>
      <c r="AMC1" s="29" t="n"/>
      <c r="AMD1" s="29" t="n"/>
      <c r="AME1" s="29" t="n"/>
      <c r="AMF1" s="29" t="n"/>
      <c r="AMG1" s="29" t="n"/>
      <c r="AMH1" s="29" t="n"/>
      <c r="AMI1" s="29" t="n"/>
      <c r="AMJ1" s="29" t="n"/>
    </row>
    <row r="2" ht="13.8" customHeight="1" s="28">
      <c r="A2" s="29" t="n"/>
      <c r="B2" s="29" t="n"/>
      <c r="C2" s="29" t="n"/>
      <c r="D2" s="29" t="n"/>
      <c r="E2" s="29" t="n"/>
      <c r="F2" s="29" t="n"/>
      <c r="G2" s="29" t="n"/>
      <c r="H2" s="29" t="n"/>
      <c r="I2" s="42" t="n"/>
      <c r="J2" s="42">
        <f>(-1)*Annahmen!B14</f>
        <v/>
      </c>
      <c r="K2" s="42" t="n"/>
      <c r="L2" s="29" t="n"/>
      <c r="M2" s="29" t="n"/>
      <c r="N2" s="29" t="n"/>
      <c r="O2" s="29" t="n"/>
      <c r="P2" s="29" t="n"/>
    </row>
    <row r="3" ht="13.8" customHeight="1" s="28">
      <c r="A3" s="27" t="n">
        <v>1</v>
      </c>
      <c r="B3" s="27">
        <f>Annahmen!$B$9*Annahmen!$B$8</f>
        <v/>
      </c>
      <c r="C3" s="27" t="n">
        <v>21000</v>
      </c>
      <c r="D3" s="33">
        <f>MIN(B3*E3,MAX(C3-P3,0))</f>
        <v/>
      </c>
      <c r="E3" s="43" t="n">
        <v>0.4</v>
      </c>
      <c r="F3" s="33">
        <f>MAX(B3-D3,0)</f>
        <v/>
      </c>
      <c r="G3" s="30">
        <f>D3*Annahmen!$B$18</f>
        <v/>
      </c>
      <c r="H3" s="30">
        <f> F3 * ( (10/15) * Annahmen!$B$19 + (5/15) * Annahmen!$B$20 )</f>
        <v/>
      </c>
      <c r="I3" s="30" t="n">
        <v>-150</v>
      </c>
      <c r="J3" s="30">
        <f>SUM(G3:I3)+T3</f>
        <v/>
      </c>
      <c r="K3" s="41">
        <f>J3/Annahmen!$B$14</f>
        <v/>
      </c>
      <c r="L3" s="30">
        <f>J3</f>
        <v/>
      </c>
      <c r="M3" s="30">
        <f>J3/(1+Annahmen!$B$39)^A3</f>
        <v/>
      </c>
      <c r="N3" s="27">
        <f>IF(L3&gt;=Annahmen!$B$14,"JA","")</f>
        <v/>
      </c>
      <c r="O3" s="27">
        <f>IF(A3&lt;=Annahmen!$B$36,Annahmen!$B$33,0)</f>
        <v/>
      </c>
      <c r="P3" s="27">
        <f>MIN(O3*Annahmen!$B$34,C3)</f>
        <v/>
      </c>
      <c r="Q3" s="27">
        <f>MAX(O3-P3,0)</f>
        <v/>
      </c>
      <c r="R3" s="27">
        <f>P3*Annahmen!$B$18</f>
        <v/>
      </c>
      <c r="S3" s="27">
        <f>Q3*Annahmen!$B$35</f>
        <v/>
      </c>
      <c r="T3" s="27">
        <f>SUM(R3:S3)</f>
        <v/>
      </c>
    </row>
    <row r="4" ht="13.8" customHeight="1" s="28">
      <c r="A4" s="27" t="n">
        <v>2</v>
      </c>
      <c r="B4" s="33">
        <f>B3*(1-Annahmen!$B$11)</f>
        <v/>
      </c>
      <c r="C4" s="27" t="n">
        <v>21000</v>
      </c>
      <c r="D4" s="33">
        <f>MIN(B4*E4,MAX(C4-P4,0))</f>
        <v/>
      </c>
      <c r="E4" s="43" t="n">
        <v>0.4</v>
      </c>
      <c r="F4" s="33">
        <f>MAX(B4-D4,0)</f>
        <v/>
      </c>
      <c r="G4" s="30">
        <f>D4*Annahmen!$B$18</f>
        <v/>
      </c>
      <c r="H4" s="30">
        <f> F4 * ( (10/15) * Annahmen!$B$19 + (5/15) * Annahmen!$B$20 )</f>
        <v/>
      </c>
      <c r="I4" s="30" t="n">
        <v>-150</v>
      </c>
      <c r="J4" s="30">
        <f>SUM(G4:I4)+T4</f>
        <v/>
      </c>
      <c r="K4" s="41">
        <f>J4/Annahmen!$B$14</f>
        <v/>
      </c>
      <c r="L4" s="30">
        <f>L3+J4</f>
        <v/>
      </c>
      <c r="M4" s="30">
        <f>J4/(1+Annahmen!$B$39)^A4</f>
        <v/>
      </c>
      <c r="N4" s="27">
        <f>IF(L4&gt;=Annahmen!$B$14,"JA","")</f>
        <v/>
      </c>
      <c r="O4" s="27">
        <f>IF(A4&lt;=Annahmen!$B$36,Annahmen!$B$33,0)</f>
        <v/>
      </c>
      <c r="P4" s="27">
        <f>MIN(O4*Annahmen!$B$34,C4)</f>
        <v/>
      </c>
      <c r="Q4" s="27">
        <f>MAX(O4-P4,0)</f>
        <v/>
      </c>
      <c r="R4" s="27">
        <f>P4*Annahmen!$B$18</f>
        <v/>
      </c>
      <c r="S4" s="27">
        <f>Q4*Annahmen!$B$35</f>
        <v/>
      </c>
      <c r="T4" s="27">
        <f>SUM(R4:S4)</f>
        <v/>
      </c>
    </row>
    <row r="5" ht="13.8" customHeight="1" s="28">
      <c r="A5" s="27" t="n">
        <v>3</v>
      </c>
      <c r="B5" s="33">
        <f>B4*(1-Annahmen!$B$11)</f>
        <v/>
      </c>
      <c r="C5" s="27" t="n">
        <v>21000</v>
      </c>
      <c r="D5" s="33">
        <f>MIN(B5*E5,MAX(C5-P5,0))</f>
        <v/>
      </c>
      <c r="E5" s="43" t="n">
        <v>0.4</v>
      </c>
      <c r="F5" s="33">
        <f>MAX(B5-D5,0)</f>
        <v/>
      </c>
      <c r="G5" s="30">
        <f>D5*Annahmen!$B$18</f>
        <v/>
      </c>
      <c r="H5" s="30">
        <f> F5 * ( (10/15) * Annahmen!$B$19 + (5/15) * Annahmen!$B$20 )</f>
        <v/>
      </c>
      <c r="I5" s="30" t="n">
        <v>-150</v>
      </c>
      <c r="J5" s="30">
        <f>SUM(G5:I5)+T5</f>
        <v/>
      </c>
      <c r="K5" s="41">
        <f>J5/Annahmen!$B$14</f>
        <v/>
      </c>
      <c r="L5" s="30">
        <f>L4+J5</f>
        <v/>
      </c>
      <c r="M5" s="30">
        <f>J5/(1+Annahmen!$B$39)^A5</f>
        <v/>
      </c>
      <c r="N5" s="27">
        <f>IF(L5&gt;=Annahmen!$B$14,"JA","")</f>
        <v/>
      </c>
      <c r="O5" s="27">
        <f>IF(A5&lt;=Annahmen!$B$36,Annahmen!$B$33,0)</f>
        <v/>
      </c>
      <c r="P5" s="27">
        <f>MIN(O5*Annahmen!$B$34,C5)</f>
        <v/>
      </c>
      <c r="Q5" s="27">
        <f>MAX(O5-P5,0)</f>
        <v/>
      </c>
      <c r="R5" s="27">
        <f>P5*Annahmen!$B$18</f>
        <v/>
      </c>
      <c r="S5" s="27">
        <f>Q5*Annahmen!$B$35</f>
        <v/>
      </c>
      <c r="T5" s="27">
        <f>SUM(R5:S5)</f>
        <v/>
      </c>
    </row>
    <row r="6" ht="13.8" customHeight="1" s="28">
      <c r="A6" s="27" t="n">
        <v>4</v>
      </c>
      <c r="B6" s="33">
        <f>B5*(1-Annahmen!$B$11)</f>
        <v/>
      </c>
      <c r="C6" s="27" t="n">
        <v>21000</v>
      </c>
      <c r="D6" s="33">
        <f>MIN(B6*E6,MAX(C6-P6,0))</f>
        <v/>
      </c>
      <c r="E6" s="43" t="n">
        <v>0.4</v>
      </c>
      <c r="F6" s="33">
        <f>MAX(B6-D6,0)</f>
        <v/>
      </c>
      <c r="G6" s="30">
        <f>D6*Annahmen!$B$18</f>
        <v/>
      </c>
      <c r="H6" s="30">
        <f> F6 * ( (10/15) * Annahmen!$B$19 + (5/15) * Annahmen!$B$20 )</f>
        <v/>
      </c>
      <c r="I6" s="30" t="n">
        <v>-150</v>
      </c>
      <c r="J6" s="30">
        <f>SUM(G6:I6)+T6</f>
        <v/>
      </c>
      <c r="K6" s="41">
        <f>J6/Annahmen!$B$14</f>
        <v/>
      </c>
      <c r="L6" s="30">
        <f>L5+J6</f>
        <v/>
      </c>
      <c r="M6" s="30">
        <f>J6/(1+Annahmen!$B$39)^A6</f>
        <v/>
      </c>
      <c r="N6" s="27">
        <f>IF(L6&gt;=Annahmen!$B$14,"JA","")</f>
        <v/>
      </c>
      <c r="O6" s="27">
        <f>IF(A6&lt;=Annahmen!$B$36,Annahmen!$B$33,0)</f>
        <v/>
      </c>
      <c r="P6" s="27">
        <f>MIN(O6*Annahmen!$B$34,C6)</f>
        <v/>
      </c>
      <c r="Q6" s="27">
        <f>MAX(O6-P6,0)</f>
        <v/>
      </c>
      <c r="R6" s="27">
        <f>P6*Annahmen!$B$18</f>
        <v/>
      </c>
      <c r="S6" s="27">
        <f>Q6*Annahmen!$B$35</f>
        <v/>
      </c>
      <c r="T6" s="27">
        <f>SUM(R6:S6)</f>
        <v/>
      </c>
    </row>
    <row r="7" ht="13.8" customHeight="1" s="28">
      <c r="A7" s="27" t="n">
        <v>5</v>
      </c>
      <c r="B7" s="33">
        <f>B6*(1-Annahmen!$B$11)</f>
        <v/>
      </c>
      <c r="C7" s="27" t="n">
        <v>21000</v>
      </c>
      <c r="D7" s="33">
        <f>MIN(B7*E7,MAX(C7-P7,0))</f>
        <v/>
      </c>
      <c r="E7" s="43" t="n">
        <v>0.4</v>
      </c>
      <c r="F7" s="33">
        <f>MAX(B7-D7,0)</f>
        <v/>
      </c>
      <c r="G7" s="30">
        <f>D7*Annahmen!$B$18</f>
        <v/>
      </c>
      <c r="H7" s="30">
        <f> F7 * ( (10/15) * Annahmen!$B$19 + (5/15) * Annahmen!$B$20 )</f>
        <v/>
      </c>
      <c r="I7" s="30" t="n">
        <v>-150</v>
      </c>
      <c r="J7" s="30">
        <f>SUM(G7:I7)+T7</f>
        <v/>
      </c>
      <c r="K7" s="41">
        <f>J7/Annahmen!$B$14</f>
        <v/>
      </c>
      <c r="L7" s="30">
        <f>L6+J7</f>
        <v/>
      </c>
      <c r="M7" s="30">
        <f>J7/(1+Annahmen!$B$39)^A7</f>
        <v/>
      </c>
      <c r="N7" s="27">
        <f>IF(L7&gt;=Annahmen!$B$14,"JA","")</f>
        <v/>
      </c>
      <c r="O7" s="27">
        <f>IF(A7&lt;=Annahmen!$B$36,Annahmen!$B$33,0)</f>
        <v/>
      </c>
      <c r="P7" s="27">
        <f>MIN(O7*Annahmen!$B$34,C7)</f>
        <v/>
      </c>
      <c r="Q7" s="27">
        <f>MAX(O7-P7,0)</f>
        <v/>
      </c>
      <c r="R7" s="27">
        <f>P7*Annahmen!$B$18</f>
        <v/>
      </c>
      <c r="S7" s="27">
        <f>Q7*Annahmen!$B$35</f>
        <v/>
      </c>
      <c r="T7" s="27">
        <f>SUM(R7:S7)</f>
        <v/>
      </c>
    </row>
    <row r="8" ht="13.8" customHeight="1" s="28">
      <c r="A8" s="27" t="n">
        <v>6</v>
      </c>
      <c r="B8" s="33">
        <f>B7*(1-Annahmen!$B$11)</f>
        <v/>
      </c>
      <c r="C8" s="27" t="n">
        <v>18000</v>
      </c>
      <c r="D8" s="33">
        <f>MIN(B8*E8,MAX(C8-P8,0))</f>
        <v/>
      </c>
      <c r="E8" s="43" t="n">
        <v>0.35</v>
      </c>
      <c r="F8" s="33">
        <f>MAX(B8-D8,0)</f>
        <v/>
      </c>
      <c r="G8" s="30">
        <f>D8*Annahmen!$B$18</f>
        <v/>
      </c>
      <c r="H8" s="30">
        <f> F8 * ( (10/15) * Annahmen!$B$19 + (5/15) * Annahmen!$B$20 )</f>
        <v/>
      </c>
      <c r="I8" s="30" t="n">
        <v>-150</v>
      </c>
      <c r="J8" s="30">
        <f>SUM(G8:I8)+T8</f>
        <v/>
      </c>
      <c r="K8" s="41">
        <f>J8/Annahmen!$B$14</f>
        <v/>
      </c>
      <c r="L8" s="30">
        <f>L7+J8</f>
        <v/>
      </c>
      <c r="M8" s="30">
        <f>J8/(1+Annahmen!$B$39)^A8</f>
        <v/>
      </c>
      <c r="N8" s="27">
        <f>IF(L8&gt;=Annahmen!$B$14,"JA","")</f>
        <v/>
      </c>
      <c r="O8" s="27">
        <f>IF(A8&lt;=Annahmen!$B$36,Annahmen!$B$33,0)</f>
        <v/>
      </c>
      <c r="P8" s="27">
        <f>MIN(O8*Annahmen!$B$34,C8)</f>
        <v/>
      </c>
      <c r="Q8" s="27">
        <f>MAX(O8-P8,0)</f>
        <v/>
      </c>
      <c r="R8" s="27">
        <f>P8*Annahmen!$B$18</f>
        <v/>
      </c>
      <c r="S8" s="27">
        <f>Q8*Annahmen!$B$35</f>
        <v/>
      </c>
      <c r="T8" s="27">
        <f>SUM(R8:S8)</f>
        <v/>
      </c>
    </row>
    <row r="9" ht="13.8" customHeight="1" s="28">
      <c r="A9" s="27" t="n">
        <v>7</v>
      </c>
      <c r="B9" s="33">
        <f>B8*(1-Annahmen!$B$11)</f>
        <v/>
      </c>
      <c r="C9" s="27" t="n">
        <v>18000</v>
      </c>
      <c r="D9" s="33">
        <f>MIN(B9*E9,MAX(C9-P9,0))</f>
        <v/>
      </c>
      <c r="E9" s="43" t="n">
        <v>0.35</v>
      </c>
      <c r="F9" s="33">
        <f>MAX(B9-D9,0)</f>
        <v/>
      </c>
      <c r="G9" s="30">
        <f>D9*Annahmen!$B$18</f>
        <v/>
      </c>
      <c r="H9" s="30">
        <f> F9 * ( (10/15) * Annahmen!$B$19 + (5/15) * Annahmen!$B$20 )</f>
        <v/>
      </c>
      <c r="I9" s="30" t="n">
        <v>-150</v>
      </c>
      <c r="J9" s="30">
        <f>SUM(G9:I9)+T9</f>
        <v/>
      </c>
      <c r="K9" s="41">
        <f>J9/Annahmen!$B$14</f>
        <v/>
      </c>
      <c r="L9" s="30">
        <f>L8+J9</f>
        <v/>
      </c>
      <c r="M9" s="30">
        <f>J9/(1+Annahmen!$B$39)^A9</f>
        <v/>
      </c>
      <c r="N9" s="27">
        <f>IF(L9&gt;=Annahmen!$B$14,"JA","")</f>
        <v/>
      </c>
      <c r="O9" s="27">
        <f>IF(A9&lt;=Annahmen!$B$36,Annahmen!$B$33,0)</f>
        <v/>
      </c>
      <c r="P9" s="27">
        <f>MIN(O9*Annahmen!$B$34,C9)</f>
        <v/>
      </c>
      <c r="Q9" s="27">
        <f>MAX(O9-P9,0)</f>
        <v/>
      </c>
      <c r="R9" s="27">
        <f>P9*Annahmen!$B$18</f>
        <v/>
      </c>
      <c r="S9" s="27">
        <f>Q9*Annahmen!$B$35</f>
        <v/>
      </c>
      <c r="T9" s="27">
        <f>SUM(R9:S9)</f>
        <v/>
      </c>
    </row>
    <row r="10" ht="13.8" customHeight="1" s="28">
      <c r="A10" s="27" t="n">
        <v>8</v>
      </c>
      <c r="B10" s="33">
        <f>B9*(1-Annahmen!$B$11)</f>
        <v/>
      </c>
      <c r="C10" s="27" t="n">
        <v>18000</v>
      </c>
      <c r="D10" s="33">
        <f>MIN(B10*E10,MAX(C10-P10,0))</f>
        <v/>
      </c>
      <c r="E10" s="43" t="n">
        <v>0.35</v>
      </c>
      <c r="F10" s="33">
        <f>MAX(B10-D10,0)</f>
        <v/>
      </c>
      <c r="G10" s="30">
        <f>D10*Annahmen!$B$18</f>
        <v/>
      </c>
      <c r="H10" s="30">
        <f> F10 * ( (10/15) * Annahmen!$B$19 + (5/15) * Annahmen!$B$20 )</f>
        <v/>
      </c>
      <c r="I10" s="30" t="n">
        <v>-150</v>
      </c>
      <c r="J10" s="30">
        <f>SUM(G10:I10)+T10</f>
        <v/>
      </c>
      <c r="K10" s="41">
        <f>J10/Annahmen!$B$14</f>
        <v/>
      </c>
      <c r="L10" s="30">
        <f>L9+J10</f>
        <v/>
      </c>
      <c r="M10" s="30">
        <f>J10/(1+Annahmen!$B$39)^A10</f>
        <v/>
      </c>
      <c r="N10" s="27">
        <f>IF(L10&gt;=Annahmen!$B$14,"JA","")</f>
        <v/>
      </c>
      <c r="O10" s="27">
        <f>IF(A10&lt;=Annahmen!$B$36,Annahmen!$B$33,0)</f>
        <v/>
      </c>
      <c r="P10" s="27">
        <f>MIN(O10*Annahmen!$B$34,C10)</f>
        <v/>
      </c>
      <c r="Q10" s="27">
        <f>MAX(O10-P10,0)</f>
        <v/>
      </c>
      <c r="R10" s="27">
        <f>P10*Annahmen!$B$18</f>
        <v/>
      </c>
      <c r="S10" s="27">
        <f>Q10*Annahmen!$B$35</f>
        <v/>
      </c>
      <c r="T10" s="27">
        <f>SUM(R10:S10)</f>
        <v/>
      </c>
    </row>
    <row r="11" ht="13.8" customHeight="1" s="28">
      <c r="A11" s="27" t="n">
        <v>9</v>
      </c>
      <c r="B11" s="33">
        <f>B10*(1-Annahmen!$B$11)</f>
        <v/>
      </c>
      <c r="C11" s="27" t="n">
        <v>18000</v>
      </c>
      <c r="D11" s="33">
        <f>MIN(B11*E11,MAX(C11-P11,0))</f>
        <v/>
      </c>
      <c r="E11" s="43" t="n">
        <v>0.35</v>
      </c>
      <c r="F11" s="33">
        <f>MAX(B11-D11,0)</f>
        <v/>
      </c>
      <c r="G11" s="30">
        <f>D11*Annahmen!$B$18</f>
        <v/>
      </c>
      <c r="H11" s="30">
        <f> F11 * ( (10/15) * Annahmen!$B$19 + (5/15) * Annahmen!$B$20 )</f>
        <v/>
      </c>
      <c r="I11" s="30" t="n">
        <v>-150</v>
      </c>
      <c r="J11" s="30">
        <f>SUM(G11:I11)+T11</f>
        <v/>
      </c>
      <c r="K11" s="41">
        <f>J11/Annahmen!$B$14</f>
        <v/>
      </c>
      <c r="L11" s="30">
        <f>L10+J11</f>
        <v/>
      </c>
      <c r="M11" s="30">
        <f>J11/(1+Annahmen!$B$39)^A11</f>
        <v/>
      </c>
      <c r="N11" s="27">
        <f>IF(L11&gt;=Annahmen!$B$14,"JA","")</f>
        <v/>
      </c>
      <c r="O11" s="27">
        <f>IF(A11&lt;=Annahmen!$B$36,Annahmen!$B$33,0)</f>
        <v/>
      </c>
      <c r="P11" s="27">
        <f>MIN(O11*Annahmen!$B$34,C11)</f>
        <v/>
      </c>
      <c r="Q11" s="27">
        <f>MAX(O11-P11,0)</f>
        <v/>
      </c>
      <c r="R11" s="27">
        <f>P11*Annahmen!$B$18</f>
        <v/>
      </c>
      <c r="S11" s="27">
        <f>Q11*Annahmen!$B$35</f>
        <v/>
      </c>
      <c r="T11" s="27">
        <f>SUM(R11:S11)</f>
        <v/>
      </c>
    </row>
    <row r="12" ht="13.8" customHeight="1" s="28">
      <c r="A12" s="27" t="n">
        <v>10</v>
      </c>
      <c r="B12" s="33">
        <f>B11*(1-Annahmen!$B$11)</f>
        <v/>
      </c>
      <c r="C12" s="27" t="n">
        <v>18000</v>
      </c>
      <c r="D12" s="33">
        <f>MIN(B12*E12,MAX(C12-P12,0))</f>
        <v/>
      </c>
      <c r="E12" s="43" t="n">
        <v>0.35</v>
      </c>
      <c r="F12" s="33">
        <f>MAX(B12-D12,0)</f>
        <v/>
      </c>
      <c r="G12" s="30">
        <f>D12*Annahmen!$B$18</f>
        <v/>
      </c>
      <c r="H12" s="30">
        <f> F12 * ( (10/15) * Annahmen!$B$19 + (5/15) * Annahmen!$B$20 )</f>
        <v/>
      </c>
      <c r="I12" s="30" t="n">
        <v>-150</v>
      </c>
      <c r="J12" s="30">
        <f>SUM(G12:I12)+T12</f>
        <v/>
      </c>
      <c r="K12" s="41">
        <f>J12/Annahmen!$B$14</f>
        <v/>
      </c>
      <c r="L12" s="30">
        <f>L11+J12</f>
        <v/>
      </c>
      <c r="M12" s="30">
        <f>J12/(1+Annahmen!$B$39)^A12</f>
        <v/>
      </c>
      <c r="N12" s="27">
        <f>IF(L12&gt;=Annahmen!$B$14,"JA","")</f>
        <v/>
      </c>
      <c r="O12" s="27">
        <f>IF(A12&lt;=Annahmen!$B$36,Annahmen!$B$33,0)</f>
        <v/>
      </c>
      <c r="P12" s="27">
        <f>MIN(O12*Annahmen!$B$34,C12)</f>
        <v/>
      </c>
      <c r="Q12" s="27">
        <f>MAX(O12-P12,0)</f>
        <v/>
      </c>
      <c r="R12" s="27">
        <f>P12*Annahmen!$B$18</f>
        <v/>
      </c>
      <c r="S12" s="27">
        <f>Q12*Annahmen!$B$35</f>
        <v/>
      </c>
      <c r="T12" s="27">
        <f>SUM(R12:S12)</f>
        <v/>
      </c>
    </row>
    <row r="13" ht="13.8" customHeight="1" s="28">
      <c r="A13" s="27" t="n">
        <v>11</v>
      </c>
      <c r="B13" s="33">
        <f>B12*(1-Annahmen!$B$11)</f>
        <v/>
      </c>
      <c r="C13" s="27" t="n">
        <v>15000</v>
      </c>
      <c r="D13" s="33">
        <f>MIN(B13*E13,MAX(C13-P13,0))</f>
        <v/>
      </c>
      <c r="E13" s="43" t="n">
        <v>0.3</v>
      </c>
      <c r="F13" s="33">
        <f>MAX(B13-D13,0)</f>
        <v/>
      </c>
      <c r="G13" s="30">
        <f>D13*Annahmen!$B$18</f>
        <v/>
      </c>
      <c r="H13" s="30">
        <f> F13 * ( (10/15) * Annahmen!$B$19 + (5/15) * Annahmen!$B$20 )</f>
        <v/>
      </c>
      <c r="I13" s="30" t="n">
        <v>-150</v>
      </c>
      <c r="J13" s="30">
        <f>SUM(G13:I13)+T13</f>
        <v/>
      </c>
      <c r="K13" s="41">
        <f>J13/Annahmen!$B$14</f>
        <v/>
      </c>
      <c r="L13" s="30">
        <f>L12+J13</f>
        <v/>
      </c>
      <c r="M13" s="30">
        <f>J13/(1+Annahmen!$B$39)^A13</f>
        <v/>
      </c>
      <c r="N13" s="27">
        <f>IF(L13&gt;=Annahmen!$B$14,"JA","")</f>
        <v/>
      </c>
      <c r="O13" s="27">
        <f>IF(A13&lt;=Annahmen!$B$36,Annahmen!$B$33,0)</f>
        <v/>
      </c>
      <c r="P13" s="27">
        <f>MIN(O13*Annahmen!$B$34,C13)</f>
        <v/>
      </c>
      <c r="Q13" s="27">
        <f>MAX(O13-P13,0)</f>
        <v/>
      </c>
      <c r="R13" s="27">
        <f>P13*Annahmen!$B$18</f>
        <v/>
      </c>
      <c r="S13" s="27">
        <f>Q13*Annahmen!$B$35</f>
        <v/>
      </c>
      <c r="T13" s="27">
        <f>SUM(R13:S13)</f>
        <v/>
      </c>
    </row>
    <row r="14" ht="13.8" customHeight="1" s="28">
      <c r="A14" s="27" t="n">
        <v>12</v>
      </c>
      <c r="B14" s="33">
        <f>B13*(1-Annahmen!$B$11)</f>
        <v/>
      </c>
      <c r="C14" s="27" t="n">
        <v>15000</v>
      </c>
      <c r="D14" s="33">
        <f>MIN(B14*E14,MAX(C14-P14,0))</f>
        <v/>
      </c>
      <c r="E14" s="43" t="n">
        <v>0.3</v>
      </c>
      <c r="F14" s="33">
        <f>MAX(B14-D14,0)</f>
        <v/>
      </c>
      <c r="G14" s="30">
        <f>D14*Annahmen!$B$18</f>
        <v/>
      </c>
      <c r="H14" s="30">
        <f> F14 * ( (10/15) * Annahmen!$B$19 + (5/15) * Annahmen!$B$20 )</f>
        <v/>
      </c>
      <c r="I14" s="30" t="n">
        <v>-150</v>
      </c>
      <c r="J14" s="30">
        <f>SUM(G14:I14)+T14</f>
        <v/>
      </c>
      <c r="K14" s="41">
        <f>J14/Annahmen!$B$14</f>
        <v/>
      </c>
      <c r="L14" s="30">
        <f>L13+J14</f>
        <v/>
      </c>
      <c r="M14" s="30">
        <f>J14/(1+Annahmen!$B$39)^A14</f>
        <v/>
      </c>
      <c r="N14" s="27">
        <f>IF(L14&gt;=Annahmen!$B$14,"JA","")</f>
        <v/>
      </c>
      <c r="O14" s="27">
        <f>IF(A14&lt;=Annahmen!$B$36,Annahmen!$B$33,0)</f>
        <v/>
      </c>
      <c r="P14" s="27">
        <f>MIN(O14*Annahmen!$B$34,C14)</f>
        <v/>
      </c>
      <c r="Q14" s="27">
        <f>MAX(O14-P14,0)</f>
        <v/>
      </c>
      <c r="R14" s="27">
        <f>P14*Annahmen!$B$18</f>
        <v/>
      </c>
      <c r="S14" s="27">
        <f>Q14*Annahmen!$B$35</f>
        <v/>
      </c>
      <c r="T14" s="27">
        <f>SUM(R14:S14)</f>
        <v/>
      </c>
    </row>
    <row r="15" ht="13.8" customHeight="1" s="28">
      <c r="A15" s="27" t="n">
        <v>13</v>
      </c>
      <c r="B15" s="33">
        <f>B14*(1-Annahmen!$B$11)</f>
        <v/>
      </c>
      <c r="C15" s="27" t="n">
        <v>15000</v>
      </c>
      <c r="D15" s="33">
        <f>MIN(B15*E15,MAX(C15-P15,0))</f>
        <v/>
      </c>
      <c r="E15" s="43" t="n">
        <v>0.3</v>
      </c>
      <c r="F15" s="33">
        <f>MAX(B15-D15,0)</f>
        <v/>
      </c>
      <c r="G15" s="30">
        <f>D15*Annahmen!$B$18</f>
        <v/>
      </c>
      <c r="H15" s="30">
        <f> F15 * ( (10/15) * Annahmen!$B$19 + (5/15) * Annahmen!$B$20 )</f>
        <v/>
      </c>
      <c r="I15" s="30" t="n">
        <v>-150</v>
      </c>
      <c r="J15" s="30">
        <f>SUM(G15:I15)+T15</f>
        <v/>
      </c>
      <c r="K15" s="41">
        <f>J15/Annahmen!$B$14</f>
        <v/>
      </c>
      <c r="L15" s="30">
        <f>L14+J15</f>
        <v/>
      </c>
      <c r="M15" s="30">
        <f>J15/(1+Annahmen!$B$39)^A15</f>
        <v/>
      </c>
      <c r="N15" s="27">
        <f>IF(L15&gt;=Annahmen!$B$14,"JA","")</f>
        <v/>
      </c>
      <c r="O15" s="27">
        <f>IF(A15&lt;=Annahmen!$B$36,Annahmen!$B$33,0)</f>
        <v/>
      </c>
      <c r="P15" s="27">
        <f>MIN(O15*Annahmen!$B$34,C15)</f>
        <v/>
      </c>
      <c r="Q15" s="27">
        <f>MAX(O15-P15,0)</f>
        <v/>
      </c>
      <c r="R15" s="27">
        <f>P15*Annahmen!$B$18</f>
        <v/>
      </c>
      <c r="S15" s="27">
        <f>Q15*Annahmen!$B$35</f>
        <v/>
      </c>
      <c r="T15" s="27">
        <f>SUM(R15:S15)</f>
        <v/>
      </c>
    </row>
    <row r="16" ht="13.8" customHeight="1" s="28">
      <c r="A16" s="27" t="n">
        <v>14</v>
      </c>
      <c r="B16" s="33">
        <f>B15*(1-Annahmen!$B$11)</f>
        <v/>
      </c>
      <c r="C16" s="27" t="n">
        <v>15000</v>
      </c>
      <c r="D16" s="33">
        <f>MIN(B16*E16,MAX(C16-P16,0))</f>
        <v/>
      </c>
      <c r="E16" s="43" t="n">
        <v>0.3</v>
      </c>
      <c r="F16" s="33">
        <f>MAX(B16-D16,0)</f>
        <v/>
      </c>
      <c r="G16" s="30">
        <f>D16*Annahmen!$B$18</f>
        <v/>
      </c>
      <c r="H16" s="30">
        <f> F16 * ( (10/15) * Annahmen!$B$19 + (5/15) * Annahmen!$B$20 )</f>
        <v/>
      </c>
      <c r="I16" s="30" t="n">
        <v>-150</v>
      </c>
      <c r="J16" s="30">
        <f>SUM(G16:I16)+T16</f>
        <v/>
      </c>
      <c r="K16" s="41">
        <f>J16/Annahmen!$B$14</f>
        <v/>
      </c>
      <c r="L16" s="30">
        <f>L15+J16</f>
        <v/>
      </c>
      <c r="M16" s="30">
        <f>J16/(1+Annahmen!$B$39)^A16</f>
        <v/>
      </c>
      <c r="N16" s="27">
        <f>IF(L16&gt;=Annahmen!$B$14,"JA","")</f>
        <v/>
      </c>
      <c r="O16" s="27">
        <f>IF(A16&lt;=Annahmen!$B$36,Annahmen!$B$33,0)</f>
        <v/>
      </c>
      <c r="P16" s="27">
        <f>MIN(O16*Annahmen!$B$34,C16)</f>
        <v/>
      </c>
      <c r="Q16" s="27">
        <f>MAX(O16-P16,0)</f>
        <v/>
      </c>
      <c r="R16" s="27">
        <f>P16*Annahmen!$B$18</f>
        <v/>
      </c>
      <c r="S16" s="27">
        <f>Q16*Annahmen!$B$35</f>
        <v/>
      </c>
      <c r="T16" s="27">
        <f>SUM(R16:S16)</f>
        <v/>
      </c>
    </row>
    <row r="17" ht="13.8" customHeight="1" s="28">
      <c r="A17" s="27" t="n">
        <v>15</v>
      </c>
      <c r="B17" s="33">
        <f>B16*(1-Annahmen!$B$11)</f>
        <v/>
      </c>
      <c r="C17" s="27" t="n">
        <v>15000</v>
      </c>
      <c r="D17" s="33">
        <f>MIN(B17*E17,MAX(C17-P17,0))</f>
        <v/>
      </c>
      <c r="E17" s="43" t="n">
        <v>0.3</v>
      </c>
      <c r="F17" s="33">
        <f>MAX(B17-D17,0)</f>
        <v/>
      </c>
      <c r="G17" s="30">
        <f>D17*Annahmen!$B$18</f>
        <v/>
      </c>
      <c r="H17" s="30">
        <f> F17 * ( (10/15) * Annahmen!$B$19 + (5/15) * Annahmen!$B$20 )</f>
        <v/>
      </c>
      <c r="I17" s="30" t="n">
        <v>-150</v>
      </c>
      <c r="J17" s="30">
        <f>SUM(G17:I17)+T17</f>
        <v/>
      </c>
      <c r="K17" s="41">
        <f>J17/Annahmen!$B$14</f>
        <v/>
      </c>
      <c r="L17" s="30">
        <f>L16+J17</f>
        <v/>
      </c>
      <c r="M17" s="30">
        <f>J17/(1+Annahmen!$B$39)^A17</f>
        <v/>
      </c>
      <c r="N17" s="27">
        <f>IF(L17&gt;=Annahmen!$B$14,"JA","")</f>
        <v/>
      </c>
      <c r="O17" s="27">
        <f>IF(A17&lt;=Annahmen!$B$36,Annahmen!$B$33,0)</f>
        <v/>
      </c>
      <c r="P17" s="27">
        <f>MIN(O17*Annahmen!$B$34,C17)</f>
        <v/>
      </c>
      <c r="Q17" s="27">
        <f>MAX(O17-P17,0)</f>
        <v/>
      </c>
      <c r="R17" s="27">
        <f>P17*Annahmen!$B$18</f>
        <v/>
      </c>
      <c r="S17" s="27">
        <f>Q17*Annahmen!$B$35</f>
        <v/>
      </c>
      <c r="T17" s="27">
        <f>SUM(R17:S17)</f>
        <v/>
      </c>
    </row>
    <row r="18" ht="13.8" customHeight="1" s="28">
      <c r="A18" s="27" t="n">
        <v>16</v>
      </c>
      <c r="B18" s="33">
        <f>B17*(1-Annahmen!$B$11)</f>
        <v/>
      </c>
      <c r="C18" s="27" t="n">
        <v>15000</v>
      </c>
      <c r="D18" s="33">
        <f>MIN(B18*E18,MAX(C18-P18,0))</f>
        <v/>
      </c>
      <c r="E18" s="43" t="n">
        <v>0.3</v>
      </c>
      <c r="F18" s="33">
        <f>MAX(B18-D18,0)</f>
        <v/>
      </c>
      <c r="G18" s="30">
        <f>D18*Annahmen!$B$18</f>
        <v/>
      </c>
      <c r="H18" s="30">
        <f> F18 * ( (10/15) * Annahmen!$B$19 + (5/15) * Annahmen!$B$20 )</f>
        <v/>
      </c>
      <c r="I18" s="30" t="n">
        <v>-150</v>
      </c>
      <c r="J18" s="30">
        <f>SUM(G18:I18)+T18</f>
        <v/>
      </c>
      <c r="K18" s="41">
        <f>J18/Annahmen!$B$14</f>
        <v/>
      </c>
      <c r="L18" s="30">
        <f>L17+J18</f>
        <v/>
      </c>
      <c r="M18" s="30">
        <f>J18/(1+Annahmen!$B$39)^A18</f>
        <v/>
      </c>
      <c r="N18" s="27">
        <f>IF(L18&gt;=Annahmen!$B$14,"JA","")</f>
        <v/>
      </c>
      <c r="O18" s="27">
        <f>IF(A18&lt;=Annahmen!$B$36,Annahmen!$B$33,0)</f>
        <v/>
      </c>
      <c r="P18" s="27">
        <f>MIN(O18*Annahmen!$B$34,C18)</f>
        <v/>
      </c>
      <c r="Q18" s="27">
        <f>MAX(O18-P18,0)</f>
        <v/>
      </c>
      <c r="R18" s="27">
        <f>P18*Annahmen!$B$18</f>
        <v/>
      </c>
      <c r="S18" s="27">
        <f>Q18*Annahmen!$B$35</f>
        <v/>
      </c>
      <c r="T18" s="27">
        <f>SUM(R18:S18)</f>
        <v/>
      </c>
    </row>
    <row r="19" ht="13.8" customHeight="1" s="28">
      <c r="A19" s="27" t="n">
        <v>17</v>
      </c>
      <c r="B19" s="33">
        <f>B18*(1-Annahmen!$B$11)</f>
        <v/>
      </c>
      <c r="C19" s="27" t="n">
        <v>15000</v>
      </c>
      <c r="D19" s="33">
        <f>MIN(B19*E19,MAX(C19-P19,0))</f>
        <v/>
      </c>
      <c r="E19" s="43" t="n">
        <v>0.3</v>
      </c>
      <c r="F19" s="33">
        <f>MAX(B19-D19,0)</f>
        <v/>
      </c>
      <c r="G19" s="30">
        <f>D19*Annahmen!$B$18</f>
        <v/>
      </c>
      <c r="H19" s="30">
        <f> F19 * ( (10/15) * Annahmen!$B$19 + (5/15) * Annahmen!$B$20 )</f>
        <v/>
      </c>
      <c r="I19" s="30" t="n">
        <v>-150</v>
      </c>
      <c r="J19" s="30">
        <f>SUM(G19:I19)+T19</f>
        <v/>
      </c>
      <c r="K19" s="41">
        <f>J19/Annahmen!$B$14</f>
        <v/>
      </c>
      <c r="L19" s="30">
        <f>L18+J19</f>
        <v/>
      </c>
      <c r="M19" s="30">
        <f>J19/(1+Annahmen!$B$39)^A19</f>
        <v/>
      </c>
      <c r="N19" s="27">
        <f>IF(L19&gt;=Annahmen!$B$14,"JA","")</f>
        <v/>
      </c>
      <c r="O19" s="27">
        <f>IF(A19&lt;=Annahmen!$B$36,Annahmen!$B$33,0)</f>
        <v/>
      </c>
      <c r="P19" s="27">
        <f>MIN(O19*Annahmen!$B$34,C19)</f>
        <v/>
      </c>
      <c r="Q19" s="27">
        <f>MAX(O19-P19,0)</f>
        <v/>
      </c>
      <c r="R19" s="27">
        <f>P19*Annahmen!$B$18</f>
        <v/>
      </c>
      <c r="S19" s="27">
        <f>Q19*Annahmen!$B$35</f>
        <v/>
      </c>
      <c r="T19" s="27">
        <f>SUM(R19:S19)</f>
        <v/>
      </c>
    </row>
    <row r="20" ht="13.8" customHeight="1" s="28">
      <c r="A20" s="27" t="n">
        <v>18</v>
      </c>
      <c r="B20" s="33">
        <f>B19*(1-Annahmen!$B$11)</f>
        <v/>
      </c>
      <c r="C20" s="27" t="n">
        <v>15000</v>
      </c>
      <c r="D20" s="33">
        <f>MIN(B20*E20,MAX(C20-P20,0))</f>
        <v/>
      </c>
      <c r="E20" s="43" t="n">
        <v>0.3</v>
      </c>
      <c r="F20" s="33">
        <f>MAX(B20-D20,0)</f>
        <v/>
      </c>
      <c r="G20" s="30">
        <f>D20*Annahmen!$B$18</f>
        <v/>
      </c>
      <c r="H20" s="30">
        <f> F20 * ( (10/15) * Annahmen!$B$19 + (5/15) * Annahmen!$B$20 )</f>
        <v/>
      </c>
      <c r="I20" s="30" t="n">
        <v>-150</v>
      </c>
      <c r="J20" s="30">
        <f>SUM(G20:I20)+T20</f>
        <v/>
      </c>
      <c r="K20" s="41">
        <f>J20/Annahmen!$B$14</f>
        <v/>
      </c>
      <c r="L20" s="30">
        <f>L19+J20</f>
        <v/>
      </c>
      <c r="M20" s="30">
        <f>J20/(1+Annahmen!$B$39)^A20</f>
        <v/>
      </c>
      <c r="N20" s="27">
        <f>IF(L20&gt;=Annahmen!$B$14,"JA","")</f>
        <v/>
      </c>
      <c r="O20" s="27">
        <f>IF(A20&lt;=Annahmen!$B$36,Annahmen!$B$33,0)</f>
        <v/>
      </c>
      <c r="P20" s="27">
        <f>MIN(O20*Annahmen!$B$34,C20)</f>
        <v/>
      </c>
      <c r="Q20" s="27">
        <f>MAX(O20-P20,0)</f>
        <v/>
      </c>
      <c r="R20" s="27">
        <f>P20*Annahmen!$B$18</f>
        <v/>
      </c>
      <c r="S20" s="27">
        <f>Q20*Annahmen!$B$35</f>
        <v/>
      </c>
      <c r="T20" s="27">
        <f>SUM(R20:S20)</f>
        <v/>
      </c>
    </row>
    <row r="21" ht="13.8" customHeight="1" s="28">
      <c r="A21" s="27" t="n">
        <v>19</v>
      </c>
      <c r="B21" s="33">
        <f>B20*(1-Annahmen!$B$11)</f>
        <v/>
      </c>
      <c r="C21" s="27" t="n">
        <v>15000</v>
      </c>
      <c r="D21" s="33">
        <f>MIN(B21*E21,MAX(C21-P21,0))</f>
        <v/>
      </c>
      <c r="E21" s="43" t="n">
        <v>0.3</v>
      </c>
      <c r="F21" s="33">
        <f>MAX(B21-D21,0)</f>
        <v/>
      </c>
      <c r="G21" s="30">
        <f>D21*Annahmen!$B$18</f>
        <v/>
      </c>
      <c r="H21" s="30">
        <f> F21 * ( (10/15) * Annahmen!$B$19 + (5/15) * Annahmen!$B$20 )</f>
        <v/>
      </c>
      <c r="I21" s="30" t="n">
        <v>-150</v>
      </c>
      <c r="J21" s="30">
        <f>SUM(G21:I21)+T21</f>
        <v/>
      </c>
      <c r="K21" s="41">
        <f>J21/Annahmen!$B$14</f>
        <v/>
      </c>
      <c r="L21" s="30">
        <f>L20+J21</f>
        <v/>
      </c>
      <c r="M21" s="30">
        <f>J21/(1+Annahmen!$B$39)^A21</f>
        <v/>
      </c>
      <c r="N21" s="27">
        <f>IF(L21&gt;=Annahmen!$B$14,"JA","")</f>
        <v/>
      </c>
      <c r="O21" s="27">
        <f>IF(A21&lt;=Annahmen!$B$36,Annahmen!$B$33,0)</f>
        <v/>
      </c>
      <c r="P21" s="27">
        <f>MIN(O21*Annahmen!$B$34,C21)</f>
        <v/>
      </c>
      <c r="Q21" s="27">
        <f>MAX(O21-P21,0)</f>
        <v/>
      </c>
      <c r="R21" s="27">
        <f>P21*Annahmen!$B$18</f>
        <v/>
      </c>
      <c r="S21" s="27">
        <f>Q21*Annahmen!$B$35</f>
        <v/>
      </c>
      <c r="T21" s="27">
        <f>SUM(R21:S21)</f>
        <v/>
      </c>
    </row>
    <row r="22" ht="13.8" customHeight="1" s="28">
      <c r="A22" s="27" t="n">
        <v>20</v>
      </c>
      <c r="B22" s="33">
        <f>B21*(1-Annahmen!$B$11)</f>
        <v/>
      </c>
      <c r="C22" s="27" t="n">
        <v>15000</v>
      </c>
      <c r="D22" s="33">
        <f>MIN(B22*E22,MAX(C22-P22,0))</f>
        <v/>
      </c>
      <c r="E22" s="43" t="n">
        <v>0.3</v>
      </c>
      <c r="F22" s="33">
        <f>MAX(B22-D22,0)</f>
        <v/>
      </c>
      <c r="G22" s="30">
        <f>D22*Annahmen!$B$18</f>
        <v/>
      </c>
      <c r="H22" s="30">
        <f> F22 * ( (10/15) * Annahmen!$B$19 + (5/15) * Annahmen!$B$20 )</f>
        <v/>
      </c>
      <c r="I22" s="30" t="n">
        <v>-150</v>
      </c>
      <c r="J22" s="30">
        <f>SUM(G22:I22)+T22</f>
        <v/>
      </c>
      <c r="K22" s="41">
        <f>J22/Annahmen!$B$14</f>
        <v/>
      </c>
      <c r="L22" s="30">
        <f>L21+J22</f>
        <v/>
      </c>
      <c r="M22" s="30">
        <f>J22/(1+Annahmen!$B$39)^A22</f>
        <v/>
      </c>
      <c r="N22" s="27">
        <f>IF(L22&gt;=Annahmen!$B$14,"JA","")</f>
        <v/>
      </c>
      <c r="O22" s="27">
        <f>IF(A22&lt;=Annahmen!$B$36,Annahmen!$B$33,0)</f>
        <v/>
      </c>
      <c r="P22" s="27">
        <f>MIN(O22*Annahmen!$B$34,C22)</f>
        <v/>
      </c>
      <c r="Q22" s="27">
        <f>MAX(O22-P22,0)</f>
        <v/>
      </c>
      <c r="R22" s="27">
        <f>P22*Annahmen!$B$18</f>
        <v/>
      </c>
      <c r="S22" s="27">
        <f>Q22*Annahmen!$B$35</f>
        <v/>
      </c>
      <c r="T22" s="27">
        <f>SUM(R22:S22)</f>
        <v/>
      </c>
    </row>
    <row r="23" ht="13.8" customHeight="1" s="28">
      <c r="A23" s="27" t="n">
        <v>21</v>
      </c>
      <c r="B23" s="33">
        <f>B22*(1-Annahmen!$B$11)</f>
        <v/>
      </c>
      <c r="C23" s="27" t="n">
        <v>15001</v>
      </c>
      <c r="D23" s="33">
        <f>MIN(B23*E23,MAX(C23-P23,0))</f>
        <v/>
      </c>
      <c r="E23" s="43" t="n">
        <v>0.3</v>
      </c>
      <c r="F23" s="33">
        <f>MAX(B23-D23,0)</f>
        <v/>
      </c>
      <c r="G23" s="30">
        <f>D23*Annahmen!$B$18</f>
        <v/>
      </c>
      <c r="H23" s="30">
        <f> F23 * ( (10/15) * Annahmen!$B$19 + (5/15) * Annahmen!$B$20 )</f>
        <v/>
      </c>
      <c r="I23" s="30" t="n">
        <v>-149</v>
      </c>
      <c r="J23" s="30">
        <f>SUM(G23:I23)+T23</f>
        <v/>
      </c>
      <c r="K23" s="41">
        <f>J23/Annahmen!$B$14</f>
        <v/>
      </c>
      <c r="L23" s="30">
        <f>L22+J23</f>
        <v/>
      </c>
      <c r="M23" s="30">
        <f>J23/(1+Annahmen!$B$39)^A23</f>
        <v/>
      </c>
      <c r="N23" s="27">
        <f>IF(L23&gt;=Annahmen!$B$14,"JA","")</f>
        <v/>
      </c>
      <c r="O23" s="27">
        <f>IF(A23&lt;=Annahmen!$B$36,Annahmen!$B$33,0)</f>
        <v/>
      </c>
      <c r="P23" s="27">
        <f>MIN(O23*Annahmen!$B$34,C23)</f>
        <v/>
      </c>
      <c r="Q23" s="27">
        <f>MAX(O23-P23,0)</f>
        <v/>
      </c>
      <c r="R23" s="27">
        <f>P23*Annahmen!$B$18</f>
        <v/>
      </c>
      <c r="S23" s="27">
        <f>Q23*Annahmen!$B$35</f>
        <v/>
      </c>
      <c r="T23" s="27">
        <f>SUM(R23:S23)</f>
        <v/>
      </c>
    </row>
    <row r="24" ht="13.8" customHeight="1" s="28">
      <c r="A24" s="27" t="n">
        <v>22</v>
      </c>
      <c r="B24" s="33">
        <f>B23*(1-Annahmen!$B$11)</f>
        <v/>
      </c>
      <c r="C24" s="27" t="n">
        <v>15002</v>
      </c>
      <c r="D24" s="33">
        <f>MIN(B24*E24,MAX(C24-P24,0))</f>
        <v/>
      </c>
      <c r="E24" s="43" t="n">
        <v>0.3</v>
      </c>
      <c r="F24" s="33">
        <f>MAX(B24-D24,0)</f>
        <v/>
      </c>
      <c r="G24" s="30">
        <f>D24*Annahmen!$B$18</f>
        <v/>
      </c>
      <c r="H24" s="30">
        <f> F24 * ( (10/15) * Annahmen!$B$19 + (5/15) * Annahmen!$B$20 )</f>
        <v/>
      </c>
      <c r="I24" s="30" t="n">
        <v>-148</v>
      </c>
      <c r="J24" s="30">
        <f>SUM(G24:I24)+T24</f>
        <v/>
      </c>
      <c r="K24" s="41">
        <f>J24/Annahmen!$B$14</f>
        <v/>
      </c>
      <c r="L24" s="30">
        <f>L23+J24</f>
        <v/>
      </c>
      <c r="M24" s="30">
        <f>J24/(1+Annahmen!$B$39)^A24</f>
        <v/>
      </c>
      <c r="N24" s="27">
        <f>IF(L24&gt;=Annahmen!$B$14,"JA","")</f>
        <v/>
      </c>
      <c r="O24" s="27">
        <f>IF(A24&lt;=Annahmen!$B$36,Annahmen!$B$33,0)</f>
        <v/>
      </c>
      <c r="P24" s="27">
        <f>MIN(O24*Annahmen!$B$34,C24)</f>
        <v/>
      </c>
      <c r="Q24" s="27">
        <f>MAX(O24-P24,0)</f>
        <v/>
      </c>
      <c r="R24" s="27">
        <f>P24*Annahmen!$B$18</f>
        <v/>
      </c>
      <c r="S24" s="27">
        <f>Q24*Annahmen!$B$35</f>
        <v/>
      </c>
      <c r="T24" s="27">
        <f>SUM(R24:S24)</f>
        <v/>
      </c>
    </row>
    <row r="25" ht="13.8" customHeight="1" s="28">
      <c r="A25" s="27" t="n">
        <v>23</v>
      </c>
      <c r="B25" s="33">
        <f>B24*(1-Annahmen!$B$11)</f>
        <v/>
      </c>
      <c r="C25" s="27" t="n">
        <v>15003</v>
      </c>
      <c r="D25" s="33">
        <f>MIN(B25*E25,MAX(C25-P25,0))</f>
        <v/>
      </c>
      <c r="E25" s="43" t="n">
        <v>0.3</v>
      </c>
      <c r="F25" s="33">
        <f>MAX(B25-D25,0)</f>
        <v/>
      </c>
      <c r="G25" s="30">
        <f>D25*Annahmen!$B$18</f>
        <v/>
      </c>
      <c r="H25" s="30">
        <f> F25 * ( (10/15) * Annahmen!$B$19 + (5/15) * Annahmen!$B$20 )</f>
        <v/>
      </c>
      <c r="I25" s="30" t="n">
        <v>-147</v>
      </c>
      <c r="J25" s="30">
        <f>SUM(G25:I25)+T25</f>
        <v/>
      </c>
      <c r="K25" s="41">
        <f>J25/Annahmen!$B$14</f>
        <v/>
      </c>
      <c r="L25" s="30">
        <f>L24+J25</f>
        <v/>
      </c>
      <c r="M25" s="30">
        <f>J25/(1+Annahmen!$B$39)^A25</f>
        <v/>
      </c>
      <c r="N25" s="27">
        <f>IF(L25&gt;=Annahmen!$B$14,"JA","")</f>
        <v/>
      </c>
      <c r="O25" s="27">
        <f>IF(A25&lt;=Annahmen!$B$36,Annahmen!$B$33,0)</f>
        <v/>
      </c>
      <c r="P25" s="27">
        <f>MIN(O25*Annahmen!$B$34,C25)</f>
        <v/>
      </c>
      <c r="Q25" s="27">
        <f>MAX(O25-P25,0)</f>
        <v/>
      </c>
      <c r="R25" s="27">
        <f>P25*Annahmen!$B$18</f>
        <v/>
      </c>
      <c r="S25" s="27">
        <f>Q25*Annahmen!$B$35</f>
        <v/>
      </c>
      <c r="T25" s="27">
        <f>SUM(R25:S25)</f>
        <v/>
      </c>
    </row>
    <row r="26" ht="13.8" customHeight="1" s="28">
      <c r="A26" s="27" t="n">
        <v>24</v>
      </c>
      <c r="B26" s="33">
        <f>B25*(1-Annahmen!$B$11)</f>
        <v/>
      </c>
      <c r="C26" s="27" t="n">
        <v>15004</v>
      </c>
      <c r="D26" s="33">
        <f>MIN(B26*E26,MAX(C26-P26,0))</f>
        <v/>
      </c>
      <c r="E26" s="43" t="n">
        <v>0.3</v>
      </c>
      <c r="F26" s="33">
        <f>MAX(B26-D26,0)</f>
        <v/>
      </c>
      <c r="G26" s="30">
        <f>D26*Annahmen!$B$18</f>
        <v/>
      </c>
      <c r="H26" s="30">
        <f> F26 * ( (10/15) * Annahmen!$B$19 + (5/15) * Annahmen!$B$20 )</f>
        <v/>
      </c>
      <c r="I26" s="30" t="n">
        <v>-146</v>
      </c>
      <c r="J26" s="30">
        <f>SUM(G26:I26)+T26</f>
        <v/>
      </c>
      <c r="K26" s="41">
        <f>J26/Annahmen!$B$14</f>
        <v/>
      </c>
      <c r="L26" s="30">
        <f>L25+J26</f>
        <v/>
      </c>
      <c r="M26" s="30">
        <f>J26/(1+Annahmen!$B$39)^A26</f>
        <v/>
      </c>
      <c r="N26" s="27">
        <f>IF(L26&gt;=Annahmen!$B$14,"JA","")</f>
        <v/>
      </c>
      <c r="O26" s="27">
        <f>IF(A26&lt;=Annahmen!$B$36,Annahmen!$B$33,0)</f>
        <v/>
      </c>
      <c r="P26" s="27">
        <f>MIN(O26*Annahmen!$B$34,C26)</f>
        <v/>
      </c>
      <c r="Q26" s="27">
        <f>MAX(O26-P26,0)</f>
        <v/>
      </c>
      <c r="R26" s="27">
        <f>P26*Annahmen!$B$18</f>
        <v/>
      </c>
      <c r="S26" s="27">
        <f>Q26*Annahmen!$B$35</f>
        <v/>
      </c>
      <c r="T26" s="27">
        <f>SUM(R26:S26)</f>
        <v/>
      </c>
    </row>
    <row r="27" ht="13.8" customHeight="1" s="28">
      <c r="A27" s="27" t="n">
        <v>25</v>
      </c>
      <c r="B27" s="33">
        <f>B26*(1-Annahmen!$B$11)</f>
        <v/>
      </c>
      <c r="C27" s="27" t="n">
        <v>15005</v>
      </c>
      <c r="D27" s="33">
        <f>MIN(B27*E27,MAX(C27-P27,0))</f>
        <v/>
      </c>
      <c r="E27" s="43" t="n">
        <v>0.3</v>
      </c>
      <c r="F27" s="33">
        <f>MAX(B27-D27,0)</f>
        <v/>
      </c>
      <c r="G27" s="30">
        <f>D27*Annahmen!$B$18</f>
        <v/>
      </c>
      <c r="H27" s="30">
        <f> F27 * ( (10/15) * Annahmen!$B$19 + (5/15) * Annahmen!$B$20 )</f>
        <v/>
      </c>
      <c r="I27" s="30" t="n">
        <v>-145</v>
      </c>
      <c r="J27" s="30">
        <f>SUM(G27:I27)+T27</f>
        <v/>
      </c>
      <c r="K27" s="41">
        <f>J27/Annahmen!$B$14</f>
        <v/>
      </c>
      <c r="L27" s="30">
        <f>L26+J27</f>
        <v/>
      </c>
      <c r="M27" s="30">
        <f>J27/(1+Annahmen!$B$39)^A27</f>
        <v/>
      </c>
      <c r="N27" s="27">
        <f>IF(L27&gt;=Annahmen!$B$14,"JA","")</f>
        <v/>
      </c>
      <c r="O27" s="27">
        <f>IF(A27&lt;=Annahmen!$B$36,Annahmen!$B$33,0)</f>
        <v/>
      </c>
      <c r="P27" s="27">
        <f>MIN(O27*Annahmen!$B$34,C27)</f>
        <v/>
      </c>
      <c r="Q27" s="27">
        <f>MAX(O27-P27,0)</f>
        <v/>
      </c>
      <c r="R27" s="27">
        <f>P27*Annahmen!$B$18</f>
        <v/>
      </c>
      <c r="S27" s="27">
        <f>Q27*Annahmen!$B$35</f>
        <v/>
      </c>
      <c r="T27" s="27">
        <f>SUM(R27:S27)</f>
        <v/>
      </c>
    </row>
    <row r="28" ht="13.8" customHeight="1" s="28"/>
    <row r="29" ht="13.8" customHeight="1" s="28"/>
    <row r="30" ht="13.8" customHeight="1" s="28">
      <c r="N30" s="27" t="n">
        <v>2</v>
      </c>
    </row>
  </sheetData>
  <autoFilter ref="A1:N2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4" activeCellId="0" sqref="B4"/>
    </sheetView>
  </sheetViews>
  <sheetFormatPr baseColWidth="8" defaultColWidth="10.16015625" defaultRowHeight="14.05" customHeight="0" zeroHeight="0" outlineLevelRow="0"/>
  <cols>
    <col width="14.21" customWidth="1" style="27" min="1" max="1"/>
    <col width="12.72" customWidth="1" style="27" min="2" max="3"/>
    <col width="13.71" customWidth="1" style="27" min="4" max="5"/>
    <col width="8.59" customWidth="1" style="27" min="6" max="1024"/>
  </cols>
  <sheetData>
    <row r="1" ht="13.8" customHeight="1" s="28">
      <c r="A1" s="27" t="inlineStr">
        <is>
          <t>SENSITIVITÄTSANALYSE: Amortisationszeit in Jahren</t>
        </is>
      </c>
    </row>
    <row r="2" ht="13.8" customHeight="1" s="28"/>
    <row r="3" ht="13.8" customHeight="1" s="28">
      <c r="A3" s="29" t="inlineStr">
        <is>
          <t>Strompreis</t>
        </is>
      </c>
      <c r="B3" s="44" t="n">
        <v>0.8</v>
      </c>
      <c r="C3" s="44" t="n">
        <v>0.9</v>
      </c>
      <c r="D3" s="45" t="n">
        <v>1</v>
      </c>
      <c r="E3" s="44" t="n">
        <v>1.1</v>
      </c>
      <c r="F3" s="29" t="inlineStr">
        <is>
          <t>Ertrag der Anlage</t>
        </is>
      </c>
      <c r="G3" s="29" t="n"/>
    </row>
    <row r="4" ht="13.8" customHeight="1" s="28">
      <c r="A4" s="30" t="n">
        <v>0.25</v>
      </c>
      <c r="B4" s="46">
        <f>Annahmen!$B$14/((MIN((Annahmen!$B$10*B$3)*0.37,MAX(Jahresrechnung!$C$3-MIN((Annahmen!$B$33*B$3)*Annahmen!$B$34,Jahresrechnung!$C$3),0))*$A4 + MAX((Annahmen!$B$10*B$3)-MIN((Annahmen!$B$10*B$3)*0.37,MAX(Jahresrechnung!$C$3-MIN((Annahmen!$B$33*B$3)*Annahmen!$B$34,Jahresrechnung!$C$3),0)),0)*(Annahmen!$B$19*10/15+Annahmen!$B$20*5/15))-Annahmen!$B$15)</f>
        <v/>
      </c>
      <c r="C4" s="46">
        <f>Annahmen!$B$14/((MIN((Annahmen!$B$10*C$3)*0.37,MAX(Jahresrechnung!$C$3-MIN((Annahmen!$B$33*C$3)*Annahmen!$B$34,Jahresrechnung!$C$3),0))*$A4 + MAX((Annahmen!$B$10*C$3)-MIN((Annahmen!$B$10*C$3)*0.37,MAX(Jahresrechnung!$C$3-MIN((Annahmen!$B$33*C$3)*Annahmen!$B$34,Jahresrechnung!$C$3),0)),0)*(Annahmen!$B$19*10/15+Annahmen!$B$20*5/15))-Annahmen!$B$15)</f>
        <v/>
      </c>
      <c r="D4" s="47">
        <f>Annahmen!$B$14/((MIN((Annahmen!$B$10*D$3)*0.37,MAX(Jahresrechnung!$C$3-MIN((Annahmen!$B$33*D$3)*Annahmen!$B$34,Jahresrechnung!$C$3),0))*$A4 + MAX((Annahmen!$B$10*D$3)-MIN((Annahmen!$B$10*D$3)*0.37,MAX(Jahresrechnung!$C$3-MIN((Annahmen!$B$33*D$3)*Annahmen!$B$34,Jahresrechnung!$C$3),0)),0)*(Annahmen!$B$19*10/15+Annahmen!$B$20*5/15))-Annahmen!$B$15)</f>
        <v/>
      </c>
      <c r="E4" s="46">
        <f>Annahmen!$B$14/((MIN((Annahmen!$B$10*E$3)*0.37,MAX(Jahresrechnung!$C$3-MIN((Annahmen!$B$33*E$3)*Annahmen!$B$34,Jahresrechnung!$C$3),0))*$A4 + MAX((Annahmen!$B$10*E$3)-MIN((Annahmen!$B$10*E$3)*0.37,MAX(Jahresrechnung!$C$3-MIN((Annahmen!$B$33*E$3)*Annahmen!$B$34,Jahresrechnung!$C$3),0)),0)*(Annahmen!$B$19*10/15+Annahmen!$B$20*5/15))-Annahmen!$B$15)</f>
        <v/>
      </c>
      <c r="F4" s="48" t="n"/>
    </row>
    <row r="5" ht="13.8" customHeight="1" s="28">
      <c r="A5" s="30" t="n">
        <v>0.3</v>
      </c>
      <c r="B5" s="46">
        <f>Annahmen!$B$14/((MIN((Annahmen!$B$10*B$3)*0.37,MAX(Jahresrechnung!$C$3-MIN((Annahmen!$B$33*B$3)*Annahmen!$B$34,Jahresrechnung!$C$3),0))*$A5 + MAX((Annahmen!$B$10*B$3)-MIN((Annahmen!$B$10*B$3)*0.37,MAX(Jahresrechnung!$C$3-MIN((Annahmen!$B$33*B$3)*Annahmen!$B$34,Jahresrechnung!$C$3),0)),0)*(Annahmen!$B$19*10/15+Annahmen!$B$20*5/15))-Annahmen!$B$15)</f>
        <v/>
      </c>
      <c r="C5" s="46">
        <f>Annahmen!$B$14/((MIN((Annahmen!$B$10*C$3)*0.37,MAX(Jahresrechnung!$C$3-MIN((Annahmen!$B$33*C$3)*Annahmen!$B$34,Jahresrechnung!$C$3),0))*$A5 + MAX((Annahmen!$B$10*C$3)-MIN((Annahmen!$B$10*C$3)*0.37,MAX(Jahresrechnung!$C$3-MIN((Annahmen!$B$33*C$3)*Annahmen!$B$34,Jahresrechnung!$C$3),0)),0)*(Annahmen!$B$19*10/15+Annahmen!$B$20*5/15))-Annahmen!$B$15)</f>
        <v/>
      </c>
      <c r="D5" s="47">
        <f>Annahmen!$B$14/((MIN((Annahmen!$B$10*D$3)*0.37,MAX(Jahresrechnung!$C$3-MIN((Annahmen!$B$33*D$3)*Annahmen!$B$34,Jahresrechnung!$C$3),0))*$A5 + MAX((Annahmen!$B$10*D$3)-MIN((Annahmen!$B$10*D$3)*0.37,MAX(Jahresrechnung!$C$3-MIN((Annahmen!$B$33*D$3)*Annahmen!$B$34,Jahresrechnung!$C$3),0)),0)*(Annahmen!$B$19*10/15+Annahmen!$B$20*5/15))-Annahmen!$B$15)</f>
        <v/>
      </c>
      <c r="E5" s="46">
        <f>Annahmen!$B$14/((MIN((Annahmen!$B$10*E$3)*0.37,MAX(Jahresrechnung!$C$3-MIN((Annahmen!$B$33*E$3)*Annahmen!$B$34,Jahresrechnung!$C$3),0))*$A5 + MAX((Annahmen!$B$10*E$3)-MIN((Annahmen!$B$10*E$3)*0.37,MAX(Jahresrechnung!$C$3-MIN((Annahmen!$B$33*E$3)*Annahmen!$B$34,Jahresrechnung!$C$3),0)),0)*(Annahmen!$B$19*10/15+Annahmen!$B$20*5/15))-Annahmen!$B$15)</f>
        <v/>
      </c>
      <c r="F5" s="48" t="n"/>
    </row>
    <row r="6" ht="13.8" customHeight="1" s="28">
      <c r="A6" s="49" t="n">
        <v>0.32</v>
      </c>
      <c r="B6" s="47">
        <f>Annahmen!$B$14/((MIN((Annahmen!$B$10*B$3)*0.37,MAX(Jahresrechnung!$C$3-MIN((Annahmen!$B$33*B$3)*Annahmen!$B$34,Jahresrechnung!$C$3),0))*$A6 + MAX((Annahmen!$B$10*B$3)-MIN((Annahmen!$B$10*B$3)*0.37,MAX(Jahresrechnung!$C$3-MIN((Annahmen!$B$33*B$3)*Annahmen!$B$34,Jahresrechnung!$C$3),0)),0)*(Annahmen!$B$19*10/15+Annahmen!$B$20*5/15))-Annahmen!$B$15)</f>
        <v/>
      </c>
      <c r="C6" s="47">
        <f>Annahmen!$B$14/((MIN((Annahmen!$B$10*C$3)*0.37,MAX(Jahresrechnung!$C$3-MIN((Annahmen!$B$33*C$3)*Annahmen!$B$34,Jahresrechnung!$C$3),0))*$A6 + MAX((Annahmen!$B$10*C$3)-MIN((Annahmen!$B$10*C$3)*0.37,MAX(Jahresrechnung!$C$3-MIN((Annahmen!$B$33*C$3)*Annahmen!$B$34,Jahresrechnung!$C$3),0)),0)*(Annahmen!$B$19*10/15+Annahmen!$B$20*5/15))-Annahmen!$B$15)</f>
        <v/>
      </c>
      <c r="D6" s="47">
        <f>Annahmen!$B$14/((MIN((Annahmen!$B$10*D$3)*0.37,MAX(Jahresrechnung!$C$3-MIN((Annahmen!$B$33*D$3)*Annahmen!$B$34,Jahresrechnung!$C$3),0))*$A6 + MAX((Annahmen!$B$10*D$3)-MIN((Annahmen!$B$10*D$3)*0.37,MAX(Jahresrechnung!$C$3-MIN((Annahmen!$B$33*D$3)*Annahmen!$B$34,Jahresrechnung!$C$3),0)),0)*(Annahmen!$B$19*10/15+Annahmen!$B$20*5/15))-Annahmen!$B$15)</f>
        <v/>
      </c>
      <c r="E6" s="47">
        <f>Annahmen!$B$14/((MIN((Annahmen!$B$10*E$3)*0.37,MAX(Jahresrechnung!$C$3-MIN((Annahmen!$B$33*E$3)*Annahmen!$B$34,Jahresrechnung!$C$3),0))*$A6 + MAX((Annahmen!$B$10*E$3)-MIN((Annahmen!$B$10*E$3)*0.37,MAX(Jahresrechnung!$C$3-MIN((Annahmen!$B$33*E$3)*Annahmen!$B$34,Jahresrechnung!$C$3),0)),0)*(Annahmen!$B$19*10/15+Annahmen!$B$20*5/15))-Annahmen!$B$15)</f>
        <v/>
      </c>
      <c r="F6" s="48" t="n"/>
    </row>
    <row r="7" ht="13.8" customHeight="1" s="28">
      <c r="A7" s="30" t="n">
        <v>0.35</v>
      </c>
      <c r="B7" s="46">
        <f>Annahmen!$B$14/((MIN((Annahmen!$B$10*B$3)*0.37,MAX(Jahresrechnung!$C$3-MIN((Annahmen!$B$33*B$3)*Annahmen!$B$34,Jahresrechnung!$C$3),0))*$A7 + MAX((Annahmen!$B$10*B$3)-MIN((Annahmen!$B$10*B$3)*0.37,MAX(Jahresrechnung!$C$3-MIN((Annahmen!$B$33*B$3)*Annahmen!$B$34,Jahresrechnung!$C$3),0)),0)*(Annahmen!$B$19*10/15+Annahmen!$B$20*5/15))-Annahmen!$B$15)</f>
        <v/>
      </c>
      <c r="C7" s="46">
        <f>Annahmen!$B$14/((MIN((Annahmen!$B$10*C$3)*0.37,MAX(Jahresrechnung!$C$3-MIN((Annahmen!$B$33*C$3)*Annahmen!$B$34,Jahresrechnung!$C$3),0))*$A7 + MAX((Annahmen!$B$10*C$3)-MIN((Annahmen!$B$10*C$3)*0.37,MAX(Jahresrechnung!$C$3-MIN((Annahmen!$B$33*C$3)*Annahmen!$B$34,Jahresrechnung!$C$3),0)),0)*(Annahmen!$B$19*10/15+Annahmen!$B$20*5/15))-Annahmen!$B$15)</f>
        <v/>
      </c>
      <c r="D7" s="47">
        <f>Annahmen!$B$14/((MIN((Annahmen!$B$10*D$3)*0.37,MAX(Jahresrechnung!$C$3-MIN((Annahmen!$B$33*D$3)*Annahmen!$B$34,Jahresrechnung!$C$3),0))*$A7 + MAX((Annahmen!$B$10*D$3)-MIN((Annahmen!$B$10*D$3)*0.37,MAX(Jahresrechnung!$C$3-MIN((Annahmen!$B$33*D$3)*Annahmen!$B$34,Jahresrechnung!$C$3),0)),0)*(Annahmen!$B$19*10/15+Annahmen!$B$20*5/15))-Annahmen!$B$15)</f>
        <v/>
      </c>
      <c r="E7" s="46">
        <f>Annahmen!$B$14/((MIN((Annahmen!$B$10*E$3)*0.37,MAX(Jahresrechnung!$C$3-MIN((Annahmen!$B$33*E$3)*Annahmen!$B$34,Jahresrechnung!$C$3),0))*$A7 + MAX((Annahmen!$B$10*E$3)-MIN((Annahmen!$B$10*E$3)*0.37,MAX(Jahresrechnung!$C$3-MIN((Annahmen!$B$33*E$3)*Annahmen!$B$34,Jahresrechnung!$C$3),0)),0)*(Annahmen!$B$19*10/15+Annahmen!$B$20*5/15))-Annahmen!$B$15)</f>
        <v/>
      </c>
      <c r="F7" s="48" t="n"/>
    </row>
    <row r="8" ht="13.8" customHeight="1" s="28">
      <c r="A8" s="30" t="n">
        <v>0.4</v>
      </c>
      <c r="B8" s="46">
        <f>Annahmen!$B$14/((MIN((Annahmen!$B$10*B$3)*0.37,MAX(Jahresrechnung!$C$3-MIN((Annahmen!$B$33*B$3)*Annahmen!$B$34,Jahresrechnung!$C$3),0))*$A8 + MAX((Annahmen!$B$10*B$3)-MIN((Annahmen!$B$10*B$3)*0.37,MAX(Jahresrechnung!$C$3-MIN((Annahmen!$B$33*B$3)*Annahmen!$B$34,Jahresrechnung!$C$3),0)),0)*(Annahmen!$B$19*10/15+Annahmen!$B$20*5/15))-Annahmen!$B$15)</f>
        <v/>
      </c>
      <c r="C8" s="46">
        <f>Annahmen!$B$14/((MIN((Annahmen!$B$10*C$3)*0.37,MAX(Jahresrechnung!$C$3-MIN((Annahmen!$B$33*C$3)*Annahmen!$B$34,Jahresrechnung!$C$3),0))*$A8 + MAX((Annahmen!$B$10*C$3)-MIN((Annahmen!$B$10*C$3)*0.37,MAX(Jahresrechnung!$C$3-MIN((Annahmen!$B$33*C$3)*Annahmen!$B$34,Jahresrechnung!$C$3),0)),0)*(Annahmen!$B$19*10/15+Annahmen!$B$20*5/15))-Annahmen!$B$15)</f>
        <v/>
      </c>
      <c r="D8" s="47">
        <f>Annahmen!$B$14/((MIN((Annahmen!$B$10*D$3)*0.37,MAX(Jahresrechnung!$C$3-MIN((Annahmen!$B$33*D$3)*Annahmen!$B$34,Jahresrechnung!$C$3),0))*$A8 + MAX((Annahmen!$B$10*D$3)-MIN((Annahmen!$B$10*D$3)*0.37,MAX(Jahresrechnung!$C$3-MIN((Annahmen!$B$33*D$3)*Annahmen!$B$34,Jahresrechnung!$C$3),0)),0)*(Annahmen!$B$19*10/15+Annahmen!$B$20*5/15))-Annahmen!$B$15)</f>
        <v/>
      </c>
      <c r="E8" s="46">
        <f>Annahmen!$B$14/((MIN((Annahmen!$B$10*E$3)*0.37,MAX(Jahresrechnung!$C$3-MIN((Annahmen!$B$33*E$3)*Annahmen!$B$34,Jahresrechnung!$C$3),0))*$A8 + MAX((Annahmen!$B$10*E$3)-MIN((Annahmen!$B$10*E$3)*0.37,MAX(Jahresrechnung!$C$3-MIN((Annahmen!$B$33*E$3)*Annahmen!$B$34,Jahresrechnung!$C$3),0)),0)*(Annahmen!$B$19*10/15+Annahmen!$B$20*5/15))-Annahmen!$B$15)</f>
        <v/>
      </c>
      <c r="F8" s="48" t="n"/>
    </row>
    <row r="9" ht="13.8" customHeight="1" s="28"/>
    <row r="10" ht="13.8" customHeight="1" s="28">
      <c r="A10" s="27" t="inlineStr">
        <is>
          <t>Hinweise:</t>
        </is>
      </c>
    </row>
    <row r="11" ht="13.8" customHeight="1" s="28">
      <c r="A11" s="27">
        <f>"• Basis-Szenario (32 ct/kWh, 100% Ertrag): "&amp;ROUND(D6,2)&amp;" Jahre Amortisation (PVGIS-Daten: 7,2 Jahre)"</f>
        <v/>
      </c>
    </row>
    <row r="12" ht="13.8" customHeight="1" s="28">
      <c r="A12" s="27" t="inlineStr">
        <is>
          <t>• Bei sinkendem Verbrauch (Kinder ziehen aus) verschlechtert sich die Wirtschaftlichkeit leicht</t>
        </is>
      </c>
    </row>
    <row r="13" ht="13.8" customHeight="1" s="28">
      <c r="A13" s="27" t="inlineStr">
        <is>
          <t>• Bei steigenden Strompreisen amortisiert sich die Anlage deutlich schneller</t>
        </is>
      </c>
    </row>
    <row r="14" ht="13.8" customHeight="1" s="28">
      <c r="A14" s="27" t="inlineStr">
        <is>
          <t>• Selbst bei nur 80% des erwarteten Ertrags liegt die Amortisation unter 15 Jahren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1"/>
  <sheetViews>
    <sheetView showFormulas="0" showGridLines="1" showRowColHeaders="1" showZeros="1" rightToLeft="0" tabSelected="0" showOutlineSymbols="1" defaultGridColor="1" view="normal" topLeftCell="A5" colorId="64" zoomScale="100" zoomScaleNormal="100" zoomScalePageLayoutView="100" workbookViewId="0">
      <selection pane="topLeft" activeCell="A36" activeCellId="0" sqref="A36"/>
    </sheetView>
  </sheetViews>
  <sheetFormatPr baseColWidth="8" defaultColWidth="10.16015625" defaultRowHeight="14.05" customHeight="0" zeroHeight="0" outlineLevelRow="0"/>
  <cols>
    <col width="38.71" customWidth="1" style="27" min="1" max="1"/>
    <col width="40.04" customWidth="1" style="27" min="2" max="2"/>
    <col width="8.59" customWidth="1" style="27" min="3" max="1024"/>
  </cols>
  <sheetData>
    <row r="1" ht="13.8" customHeight="1" s="28">
      <c r="A1" s="27" t="inlineStr">
        <is>
          <t>DETAILLIERTE ANNAHMEN DER BERECHNUNG</t>
        </is>
      </c>
    </row>
    <row r="2" ht="13.8" customHeight="1" s="28"/>
    <row r="3" ht="13.8" customHeight="1" s="28">
      <c r="A3" s="27" t="inlineStr">
        <is>
          <t>Standort &amp; Anlage</t>
        </is>
      </c>
    </row>
    <row r="4" ht="13.8" customHeight="1" s="28">
      <c r="A4" s="27" t="inlineStr">
        <is>
          <t>PLZ</t>
        </is>
      </c>
      <c r="B4" s="27" t="inlineStr">
        <is>
          <t>55545 (Bad Kreuznach)</t>
        </is>
      </c>
    </row>
    <row r="5" ht="13.8" customHeight="1" s="28">
      <c r="A5" s="27" t="inlineStr">
        <is>
          <t>Dachausrichtung</t>
        </is>
      </c>
      <c r="B5" s="27" t="inlineStr">
        <is>
          <t>Nord-Nord-Ost (24° West)</t>
        </is>
      </c>
    </row>
    <row r="6" ht="13.8" customHeight="1" s="28">
      <c r="A6" s="27" t="inlineStr">
        <is>
          <t>Dachneigung</t>
        </is>
      </c>
      <c r="B6" s="27" t="inlineStr">
        <is>
          <t>30°</t>
        </is>
      </c>
    </row>
    <row r="7" ht="13.8" customHeight="1" s="28">
      <c r="A7" s="27" t="inlineStr">
        <is>
          <t>Verfügbare Dachfläche</t>
        </is>
      </c>
      <c r="B7" s="27" t="inlineStr">
        <is>
          <t>ca. 100 m² (effektiv ~80 m² nutzbar)</t>
        </is>
      </c>
    </row>
    <row r="8" ht="13.8" customHeight="1" s="28">
      <c r="A8" s="27" t="inlineStr">
        <is>
          <t>Installierte Leistung</t>
        </is>
      </c>
      <c r="B8" s="32">
        <f>Übersicht!D5</f>
        <v/>
      </c>
      <c r="C8" s="32" t="n">
        <v>15.48</v>
      </c>
    </row>
    <row r="9" ht="13.8" customHeight="1" s="28">
      <c r="A9" s="27" t="inlineStr">
        <is>
          <t>Spezifischer Ertrag (PVGIS / Jahr)</t>
        </is>
      </c>
      <c r="B9" s="35" t="n">
        <v>753</v>
      </c>
    </row>
    <row r="10" ht="13.8" customHeight="1" s="28">
      <c r="A10" s="27" t="inlineStr">
        <is>
          <t>Jährlicher Ertrag (Jahr 1)</t>
        </is>
      </c>
      <c r="B10" s="34" t="n">
        <v>11297</v>
      </c>
    </row>
    <row r="11" ht="13.8" customHeight="1" s="28">
      <c r="A11" s="27" t="inlineStr">
        <is>
          <t>Degradation pro Jahr</t>
        </is>
      </c>
      <c r="B11" s="50" t="n">
        <v>0.005</v>
      </c>
    </row>
    <row r="12" ht="13.8" customHeight="1" s="28"/>
    <row r="13" ht="13.8" customHeight="1" s="28">
      <c r="A13" s="27" t="inlineStr">
        <is>
          <t>Kosten</t>
        </is>
      </c>
    </row>
    <row r="14" ht="13.8" customHeight="1" s="28">
      <c r="A14" s="27" t="inlineStr">
        <is>
          <t>Investitionskosten (1.300 €/kWp, Vollinstallation)</t>
        </is>
      </c>
      <c r="B14" s="30" t="n">
        <v>18007.88</v>
      </c>
    </row>
    <row r="15" ht="13.8" customHeight="1" s="28">
      <c r="A15" s="27" t="inlineStr">
        <is>
          <t>Betriebskosten pro Jahr (Wartung, Versicherung)</t>
        </is>
      </c>
      <c r="B15" s="30" t="n">
        <v>150</v>
      </c>
    </row>
    <row r="16" ht="13.8" customHeight="1" s="28"/>
    <row r="17" ht="13.8" customHeight="1" s="28">
      <c r="A17" s="27" t="inlineStr">
        <is>
          <t>Vergütung &amp; Preise</t>
        </is>
      </c>
    </row>
    <row r="18" ht="13.8" customHeight="1" s="28">
      <c r="A18" s="27" t="inlineStr">
        <is>
          <t>Strompreis (Bezug)</t>
        </is>
      </c>
      <c r="B18" s="36" t="n">
        <v>0.32</v>
      </c>
    </row>
    <row r="19" ht="13.8" customHeight="1" s="28">
      <c r="A19" s="27" t="inlineStr">
        <is>
          <t>Einspeisevergütung (0-10 kWp)</t>
        </is>
      </c>
      <c r="B19" s="36" t="n">
        <v>0.07779999999999999</v>
      </c>
    </row>
    <row r="20" ht="13.8" customHeight="1" s="28">
      <c r="A20" s="27" t="inlineStr">
        <is>
          <t>Einspeisevergütung (&gt;10 kWp)</t>
        </is>
      </c>
      <c r="B20" s="36" t="n">
        <v>0.0673</v>
      </c>
    </row>
    <row r="21" ht="13.8" customHeight="1" s="28"/>
    <row r="22" ht="13.8" customHeight="1" s="28">
      <c r="A22" s="27" t="inlineStr">
        <is>
          <t>Verbrauchsszenarien</t>
        </is>
      </c>
    </row>
    <row r="23" ht="13.8" customHeight="1" s="28">
      <c r="A23" s="27" t="inlineStr">
        <is>
          <t>Jahre 1-5</t>
        </is>
      </c>
      <c r="B23" s="27" t="inlineStr">
        <is>
          <t>21.000 kWh (WP 7.500 + Autos 9.000 + Haushalt 4.500)</t>
        </is>
      </c>
    </row>
    <row r="24" ht="13.8" customHeight="1" s="28">
      <c r="B24" s="27" t="inlineStr">
        <is>
          <t>Eigenverbrauchsquote: 40%</t>
        </is>
      </c>
    </row>
    <row r="25" ht="13.8" customHeight="1" s="28">
      <c r="A25" s="27" t="inlineStr">
        <is>
          <t>Jahre 6-10</t>
        </is>
      </c>
      <c r="B25" s="27" t="inlineStr">
        <is>
          <t>18.000 kWh (WP 7.500 + Autos 6.000 + Haushalt 4.500)</t>
        </is>
      </c>
    </row>
    <row r="26" ht="13.8" customHeight="1" s="28">
      <c r="B26" s="27" t="inlineStr">
        <is>
          <t>Eigenverbrauchsquote: 35%</t>
        </is>
      </c>
    </row>
    <row r="27" ht="13.8" customHeight="1" s="28">
      <c r="A27" s="27" t="inlineStr">
        <is>
          <t>Jahre 11-20</t>
        </is>
      </c>
      <c r="B27" s="27" t="inlineStr">
        <is>
          <t>15.000 kWh (WP 7.500 + Autos 3.000 + Haushalt 4.500)</t>
        </is>
      </c>
    </row>
    <row r="28" ht="13.8" customHeight="1" s="28">
      <c r="B28" s="27" t="inlineStr">
        <is>
          <t>Eigenverbrauchsquote: 30%</t>
        </is>
      </c>
    </row>
    <row r="29" ht="13.8" customHeight="1" s="28"/>
    <row r="30" ht="13.8" customHeight="1" s="28">
      <c r="A30" s="27" t="inlineStr">
        <is>
          <t>Bestandsanlage (Südseite)</t>
        </is>
      </c>
    </row>
    <row r="31" ht="13.8" customHeight="1" s="28">
      <c r="A31" s="27" t="inlineStr">
        <is>
          <t>Installierte Leistung</t>
        </is>
      </c>
      <c r="B31" s="32" t="n">
        <v>11.28</v>
      </c>
    </row>
    <row r="32" ht="13.8" customHeight="1" s="28">
      <c r="A32" s="27" t="inlineStr">
        <is>
          <t>Inbetriebnahme</t>
        </is>
      </c>
      <c r="B32" s="27" t="inlineStr">
        <is>
          <t>2012</t>
        </is>
      </c>
    </row>
    <row r="33" ht="13.8" customHeight="1" s="28">
      <c r="A33" s="27" t="inlineStr">
        <is>
          <t>Jährlicher Ertrag</t>
        </is>
      </c>
      <c r="B33" s="34" t="n">
        <v>12000</v>
      </c>
    </row>
    <row r="34" ht="13.8" customHeight="1" s="28">
      <c r="A34" s="27" t="inlineStr">
        <is>
          <t>Eigenverbrauch (kein Akku)</t>
        </is>
      </c>
      <c r="B34" s="50" t="n">
        <v>0.3</v>
      </c>
    </row>
    <row r="35" ht="13.8" customHeight="1" s="28">
      <c r="A35" s="27" t="inlineStr">
        <is>
          <t>Einspeisevergütung</t>
        </is>
      </c>
      <c r="B35" s="36" t="n">
        <v>0.18</v>
      </c>
    </row>
    <row r="36" ht="13.8" customHeight="1" s="28">
      <c r="A36" s="27" t="inlineStr">
        <is>
          <t>Restlaufzeit</t>
        </is>
      </c>
      <c r="B36" s="51">
        <f>2013+20-YEAR(TODAY())</f>
        <v/>
      </c>
    </row>
    <row r="37" ht="13.8" customHeight="1" s="28"/>
    <row r="38" ht="13.8" customHeight="1" s="28">
      <c r="A38" s="27" t="inlineStr">
        <is>
          <t>Finanzielle Parameter</t>
        </is>
      </c>
    </row>
    <row r="39" ht="13.8" customHeight="1" s="28">
      <c r="A39" s="27" t="inlineStr">
        <is>
          <t>Diskontierungssatz</t>
        </is>
      </c>
      <c r="B39" s="50" t="n">
        <v>0.03</v>
      </c>
    </row>
    <row r="40" ht="13.8" customHeight="1" s="28">
      <c r="A40" s="27" t="inlineStr">
        <is>
          <t>Betrachtungszeitraum</t>
        </is>
      </c>
      <c r="B40" s="48" t="n">
        <v>20</v>
      </c>
    </row>
    <row r="41" ht="13.8" customHeight="1" s="28">
      <c r="A41" s="27" t="inlineStr">
        <is>
          <t>Inflationsanpassung</t>
        </is>
      </c>
      <c r="B41" s="27" t="inlineStr">
        <is>
          <t>nicht berücksichtigt (konservativ)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de-DE</dc:language>
  <dcterms:created xsi:type="dcterms:W3CDTF">2026-02-02T10:07:52Z</dcterms:created>
  <dcterms:modified xsi:type="dcterms:W3CDTF">2026-05-06T10:03:05Z</dcterms:modified>
  <cp:revision>22</cp:revision>
</cp:coreProperties>
</file>